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P:\00623\Documentos de projeto\05 - Elétrica\Project_DashBoard\"/>
    </mc:Choice>
  </mc:AlternateContent>
  <bookViews>
    <workbookView xWindow="0" yWindow="0" windowWidth="25017" windowHeight="9295" activeTab="1"/>
  </bookViews>
  <sheets>
    <sheet name="TABELAS DINÂMICAS" sheetId="6" r:id="rId1"/>
    <sheet name="BASE DE DADOS" sheetId="2" r:id="rId2"/>
    <sheet name="DashBoard" sheetId="7" r:id="rId3"/>
    <sheet name="VALIDAÇÃO DE DADOS" sheetId="4" r:id="rId4"/>
    <sheet name="Dados" sheetId="9" r:id="rId5"/>
  </sheets>
  <functionGroups builtInGroupCount="18"/>
  <definedNames>
    <definedName name="DadosExternos_1" localSheetId="3" hidden="1">'VALIDAÇÃO DE DADOS'!$A$1:$E$57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N12" i="2"/>
  <c r="O12" i="2"/>
  <c r="D9" i="2"/>
  <c r="D7" i="2"/>
  <c r="N7" i="2"/>
  <c r="O7" i="2"/>
  <c r="N9" i="2"/>
  <c r="N2" i="2"/>
  <c r="O9" i="2"/>
  <c r="N22" i="2" l="1"/>
  <c r="N37" i="2"/>
  <c r="N38" i="2"/>
  <c r="N39" i="2"/>
  <c r="N40" i="2"/>
  <c r="N84" i="2"/>
  <c r="N83" i="2"/>
  <c r="N100" i="2"/>
  <c r="N118" i="2"/>
  <c r="N121" i="2"/>
  <c r="N124" i="2"/>
  <c r="N130" i="2"/>
  <c r="N125" i="2"/>
  <c r="N135" i="2"/>
  <c r="N102" i="2"/>
  <c r="N116" i="2"/>
  <c r="N95" i="2"/>
  <c r="N134" i="2"/>
  <c r="N106" i="2"/>
  <c r="N97" i="2"/>
  <c r="N31" i="2"/>
  <c r="N56" i="2"/>
  <c r="N53" i="2"/>
  <c r="N79" i="2"/>
  <c r="N73" i="2"/>
  <c r="N82" i="2"/>
  <c r="N70" i="2"/>
  <c r="N35" i="2"/>
  <c r="N75" i="2"/>
  <c r="N60" i="2"/>
  <c r="N11" i="2"/>
  <c r="N49" i="2"/>
  <c r="N47" i="2"/>
  <c r="N23" i="2"/>
  <c r="N78" i="2"/>
  <c r="N30" i="2"/>
  <c r="N67" i="2"/>
  <c r="N72" i="2"/>
  <c r="N27" i="2"/>
  <c r="N64" i="2"/>
  <c r="N65" i="2"/>
  <c r="N6" i="2"/>
  <c r="N21" i="2"/>
  <c r="N26" i="2"/>
  <c r="N94" i="2"/>
  <c r="N112" i="2"/>
  <c r="N99" i="2"/>
  <c r="N132" i="2"/>
  <c r="N128" i="2"/>
  <c r="N122" i="2"/>
  <c r="N142" i="2"/>
  <c r="N88" i="2"/>
  <c r="N87" i="2"/>
  <c r="N108" i="2"/>
  <c r="N96" i="2"/>
  <c r="N90" i="2"/>
  <c r="N92" i="2"/>
  <c r="N101" i="2"/>
  <c r="N104" i="2"/>
  <c r="N18" i="2"/>
  <c r="N20" i="2"/>
  <c r="N62" i="2"/>
  <c r="N52" i="2"/>
  <c r="N66" i="2"/>
  <c r="N34" i="2"/>
  <c r="N14" i="2"/>
  <c r="N80" i="2"/>
  <c r="N4" i="2"/>
  <c r="N32" i="2"/>
  <c r="N25" i="2"/>
  <c r="N55" i="2"/>
  <c r="N44" i="2"/>
  <c r="N24" i="2"/>
  <c r="N58" i="2"/>
  <c r="N15" i="2"/>
  <c r="N3" i="2"/>
  <c r="N8" i="2"/>
  <c r="N36" i="2"/>
  <c r="N45" i="2"/>
  <c r="N19" i="2"/>
  <c r="N10" i="2"/>
  <c r="N57" i="2"/>
  <c r="N74" i="2"/>
  <c r="N110" i="2"/>
  <c r="N85" i="2"/>
  <c r="N115" i="2"/>
  <c r="N105" i="2"/>
  <c r="N91" i="2"/>
  <c r="N109" i="2"/>
  <c r="N98" i="2"/>
  <c r="N120" i="2"/>
  <c r="N103" i="2"/>
  <c r="N140" i="2"/>
  <c r="N133" i="2"/>
  <c r="N138" i="2"/>
  <c r="N129" i="2"/>
  <c r="N123" i="2"/>
  <c r="N141" i="2"/>
  <c r="N61" i="2"/>
  <c r="N81" i="2"/>
  <c r="N48" i="2"/>
  <c r="N43" i="2"/>
  <c r="N50" i="2"/>
  <c r="N16" i="2"/>
  <c r="N5" i="2"/>
  <c r="N41" i="2"/>
  <c r="N69" i="2"/>
  <c r="N46" i="2"/>
  <c r="N29" i="2"/>
  <c r="N76" i="2"/>
  <c r="N126" i="2"/>
  <c r="N117" i="2"/>
  <c r="N131" i="2"/>
  <c r="N137" i="2"/>
  <c r="N139" i="2"/>
  <c r="N111" i="2"/>
  <c r="N114" i="2"/>
  <c r="N93" i="2"/>
  <c r="N119" i="2"/>
  <c r="N113" i="2"/>
  <c r="N107" i="2"/>
  <c r="N136" i="2"/>
  <c r="N86" i="2"/>
  <c r="N89" i="2"/>
  <c r="N127" i="2"/>
  <c r="N68" i="2"/>
  <c r="N54" i="2"/>
  <c r="N17" i="2"/>
  <c r="N13" i="2"/>
  <c r="N71" i="2"/>
  <c r="N77" i="2"/>
  <c r="N63" i="2"/>
  <c r="N51" i="2"/>
  <c r="N42" i="2"/>
  <c r="N59" i="2"/>
  <c r="N33" i="2"/>
  <c r="N28" i="2"/>
  <c r="O37" i="2" l="1"/>
  <c r="O38" i="2"/>
  <c r="O39" i="2"/>
  <c r="O40" i="2"/>
  <c r="J37" i="2"/>
  <c r="J38" i="2"/>
  <c r="J39" i="2"/>
  <c r="J40" i="2"/>
  <c r="J22" i="2"/>
  <c r="O22" i="2"/>
  <c r="O103" i="2"/>
  <c r="O96" i="2"/>
  <c r="O85" i="2"/>
  <c r="J89" i="2"/>
  <c r="J87" i="2"/>
  <c r="O114" i="2"/>
  <c r="J122" i="2"/>
  <c r="J128" i="2"/>
  <c r="J99" i="2"/>
  <c r="O116" i="2"/>
  <c r="O105" i="2"/>
  <c r="J109" i="2"/>
  <c r="J139" i="2"/>
  <c r="O134" i="2"/>
  <c r="O107" i="2"/>
  <c r="O140" i="2"/>
  <c r="O94" i="2"/>
  <c r="O119" i="2"/>
  <c r="O104" i="2"/>
  <c r="O93" i="2"/>
  <c r="J97" i="2"/>
  <c r="J107" i="2"/>
  <c r="O122" i="2"/>
  <c r="J130" i="2"/>
  <c r="O99" i="2"/>
  <c r="O97" i="2"/>
  <c r="O126" i="2"/>
  <c r="O127" i="2"/>
  <c r="J101" i="2"/>
  <c r="J115" i="2"/>
  <c r="O81" i="2"/>
  <c r="O69" i="2"/>
  <c r="O32" i="2"/>
  <c r="O50" i="2"/>
  <c r="J13" i="2"/>
  <c r="O73" i="2"/>
  <c r="O36" i="2"/>
  <c r="O70" i="2"/>
  <c r="O80" i="2"/>
  <c r="O33" i="2"/>
  <c r="J76" i="2"/>
  <c r="O23" i="2"/>
  <c r="O75" i="2"/>
  <c r="J78" i="2"/>
  <c r="J3" i="2"/>
  <c r="J46" i="2"/>
  <c r="J29" i="2"/>
  <c r="J65" i="2"/>
  <c r="J64" i="2"/>
  <c r="J49" i="2"/>
  <c r="O65" i="2"/>
  <c r="J43" i="2"/>
  <c r="O2" i="2"/>
  <c r="J26" i="2"/>
  <c r="J16" i="2"/>
  <c r="O53" i="2"/>
  <c r="O6" i="2"/>
  <c r="O78" i="2"/>
  <c r="O34" i="2"/>
  <c r="O45" i="2"/>
  <c r="O48" i="2"/>
  <c r="O54" i="2"/>
  <c r="O56" i="2"/>
  <c r="O55" i="2"/>
  <c r="J6" i="2"/>
  <c r="O139" i="2"/>
  <c r="O112" i="2"/>
  <c r="O101" i="2"/>
  <c r="J105" i="2"/>
  <c r="J131" i="2"/>
  <c r="O130" i="2"/>
  <c r="J138" i="2"/>
  <c r="J134" i="2"/>
  <c r="J88" i="2"/>
  <c r="O132" i="2"/>
  <c r="O121" i="2"/>
  <c r="J125" i="2"/>
  <c r="O86" i="2"/>
  <c r="J94" i="2"/>
  <c r="J91" i="2"/>
  <c r="O113" i="2"/>
  <c r="J86" i="2"/>
  <c r="J111" i="2"/>
  <c r="O120" i="2"/>
  <c r="O109" i="2"/>
  <c r="J113" i="2"/>
  <c r="J100" i="2"/>
  <c r="O138" i="2"/>
  <c r="O123" i="2"/>
  <c r="J123" i="2"/>
  <c r="J85" i="2"/>
  <c r="J118" i="2"/>
  <c r="O108" i="2"/>
  <c r="J119" i="2"/>
  <c r="O15" i="2"/>
  <c r="J61" i="2"/>
  <c r="O67" i="2"/>
  <c r="J70" i="2"/>
  <c r="J50" i="2"/>
  <c r="O20" i="2"/>
  <c r="O57" i="2"/>
  <c r="J18" i="2"/>
  <c r="J75" i="2"/>
  <c r="J10" i="2"/>
  <c r="J67" i="2"/>
  <c r="J44" i="2"/>
  <c r="J35" i="2"/>
  <c r="O52" i="2"/>
  <c r="J81" i="2"/>
  <c r="J5" i="2"/>
  <c r="O71" i="2"/>
  <c r="J19" i="2"/>
  <c r="J79" i="2"/>
  <c r="O8" i="2"/>
  <c r="O49" i="2"/>
  <c r="O79" i="2"/>
  <c r="J20" i="2"/>
  <c r="J63" i="2"/>
  <c r="O41" i="2"/>
  <c r="J24" i="2"/>
  <c r="O26" i="2"/>
  <c r="J2" i="2"/>
  <c r="O46" i="2"/>
  <c r="J8" i="2"/>
  <c r="J59" i="2"/>
  <c r="J30" i="2"/>
  <c r="O62" i="2"/>
  <c r="J71" i="2"/>
  <c r="J28" i="2"/>
  <c r="O19" i="2"/>
  <c r="J42" i="2"/>
  <c r="J72" i="2"/>
  <c r="O142" i="2"/>
  <c r="J135" i="2"/>
  <c r="O128" i="2"/>
  <c r="O117" i="2"/>
  <c r="J121" i="2"/>
  <c r="J132" i="2"/>
  <c r="J90" i="2"/>
  <c r="J83" i="2"/>
  <c r="O91" i="2"/>
  <c r="O84" i="2"/>
  <c r="J108" i="2"/>
  <c r="O137" i="2"/>
  <c r="J141" i="2"/>
  <c r="O102" i="2"/>
  <c r="J110" i="2"/>
  <c r="J84" i="2"/>
  <c r="J117" i="2"/>
  <c r="O131" i="2"/>
  <c r="J104" i="2"/>
  <c r="O136" i="2"/>
  <c r="O125" i="2"/>
  <c r="J129" i="2"/>
  <c r="O90" i="2"/>
  <c r="J98" i="2"/>
  <c r="J103" i="2"/>
  <c r="J120" i="2"/>
  <c r="J133" i="2"/>
  <c r="J112" i="2"/>
  <c r="J140" i="2"/>
  <c r="O110" i="2"/>
  <c r="J15" i="2"/>
  <c r="O59" i="2"/>
  <c r="J33" i="2"/>
  <c r="J55" i="2"/>
  <c r="J41" i="2"/>
  <c r="O25" i="2"/>
  <c r="O60" i="2"/>
  <c r="J21" i="2"/>
  <c r="O76" i="2"/>
  <c r="O68" i="2"/>
  <c r="J47" i="2"/>
  <c r="O35" i="2"/>
  <c r="J14" i="2"/>
  <c r="J56" i="2"/>
  <c r="O29" i="2"/>
  <c r="J62" i="2"/>
  <c r="O27" i="2"/>
  <c r="J32" i="2"/>
  <c r="O61" i="2"/>
  <c r="O14" i="2"/>
  <c r="O72" i="2"/>
  <c r="J36" i="2"/>
  <c r="J25" i="2"/>
  <c r="O43" i="2"/>
  <c r="J31" i="2"/>
  <c r="O66" i="2"/>
  <c r="O51" i="2"/>
  <c r="J66" i="2"/>
  <c r="J77" i="2"/>
  <c r="O3" i="2"/>
  <c r="O42" i="2"/>
  <c r="O13" i="2"/>
  <c r="J51" i="2"/>
  <c r="J82" i="2"/>
  <c r="O17" i="2"/>
  <c r="J57" i="2"/>
  <c r="O28" i="2"/>
  <c r="O21" i="2"/>
  <c r="J60" i="2"/>
  <c r="O87" i="2"/>
  <c r="J136" i="2"/>
  <c r="J92" i="2"/>
  <c r="O133" i="2"/>
  <c r="J137" i="2"/>
  <c r="O98" i="2"/>
  <c r="J106" i="2"/>
  <c r="J127" i="2"/>
  <c r="O111" i="2"/>
  <c r="O100" i="2"/>
  <c r="O89" i="2"/>
  <c r="J93" i="2"/>
  <c r="J95" i="2"/>
  <c r="O118" i="2"/>
  <c r="J126" i="2"/>
  <c r="O92" i="2"/>
  <c r="O135" i="2"/>
  <c r="O95" i="2"/>
  <c r="O88" i="2"/>
  <c r="J124" i="2"/>
  <c r="O141" i="2"/>
  <c r="O115" i="2"/>
  <c r="O106" i="2"/>
  <c r="J114" i="2"/>
  <c r="J96" i="2"/>
  <c r="O124" i="2"/>
  <c r="J116" i="2"/>
  <c r="O83" i="2"/>
  <c r="O129" i="2"/>
  <c r="J102" i="2"/>
  <c r="O11" i="2"/>
  <c r="J73" i="2"/>
  <c r="O18" i="2"/>
  <c r="O77" i="2"/>
  <c r="O31" i="2"/>
  <c r="J23" i="2"/>
  <c r="J27" i="2"/>
  <c r="O58" i="2"/>
  <c r="O63" i="2"/>
  <c r="J69" i="2"/>
  <c r="O30" i="2"/>
  <c r="J45" i="2"/>
  <c r="J4" i="2"/>
  <c r="O24" i="2"/>
  <c r="J17" i="2"/>
  <c r="O74" i="2"/>
  <c r="J68" i="2"/>
  <c r="J80" i="2"/>
  <c r="J58" i="2"/>
  <c r="J11" i="2"/>
  <c r="O47" i="2"/>
  <c r="O44" i="2"/>
  <c r="J53" i="2"/>
  <c r="O16" i="2"/>
  <c r="O10" i="2"/>
  <c r="J52" i="2"/>
  <c r="J34" i="2"/>
  <c r="J74" i="2"/>
  <c r="O82" i="2"/>
  <c r="O5" i="2"/>
  <c r="J48" i="2"/>
  <c r="O4" i="2"/>
  <c r="J54" i="2"/>
  <c r="O64" i="2"/>
  <c r="D2" i="2" l="1"/>
  <c r="D3" i="2"/>
  <c r="D4" i="2"/>
  <c r="D5" i="2"/>
  <c r="D6" i="2"/>
  <c r="D8" i="2"/>
  <c r="D10" i="2"/>
  <c r="D11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P138" i="2" l="1"/>
  <c r="P133" i="2"/>
  <c r="P131" i="2"/>
  <c r="P130" i="2"/>
  <c r="P125" i="2"/>
  <c r="P124" i="2"/>
  <c r="P119" i="2"/>
  <c r="P118" i="2"/>
  <c r="P116" i="2"/>
  <c r="P115" i="2"/>
  <c r="P112" i="2"/>
  <c r="P113" i="2"/>
  <c r="P109" i="2"/>
  <c r="P104" i="2"/>
  <c r="P101" i="2"/>
  <c r="P96" i="2"/>
  <c r="P93" i="2"/>
  <c r="P65" i="2"/>
  <c r="P3" i="2" l="1"/>
  <c r="P4" i="2"/>
  <c r="P5" i="2"/>
  <c r="P6" i="2"/>
  <c r="P8" i="2"/>
  <c r="P10" i="2"/>
  <c r="P11" i="2"/>
  <c r="P13" i="2"/>
  <c r="P14" i="2"/>
  <c r="P15" i="2"/>
  <c r="P16" i="2"/>
  <c r="P17" i="2"/>
  <c r="P18" i="2"/>
  <c r="P19" i="2"/>
  <c r="P20" i="2"/>
  <c r="P21" i="2"/>
  <c r="P22" i="2"/>
  <c r="P23" i="2"/>
  <c r="P24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37" i="2"/>
  <c r="P38" i="2"/>
  <c r="P61" i="2"/>
  <c r="P39" i="2"/>
  <c r="P40" i="2"/>
  <c r="P62" i="2"/>
  <c r="P63" i="2"/>
  <c r="P64" i="2"/>
  <c r="P66" i="2"/>
  <c r="P67" i="2"/>
  <c r="P68" i="2"/>
  <c r="P69" i="2"/>
  <c r="P70" i="2"/>
  <c r="P71" i="2"/>
  <c r="P72" i="2"/>
  <c r="P73" i="2"/>
  <c r="P74" i="2"/>
  <c r="P25" i="2"/>
  <c r="P75" i="2"/>
  <c r="P76" i="2"/>
  <c r="P77" i="2"/>
  <c r="P78" i="2"/>
  <c r="P79" i="2"/>
  <c r="P80" i="2"/>
  <c r="P81" i="2"/>
  <c r="P26" i="2"/>
  <c r="P27" i="2"/>
  <c r="P28" i="2"/>
  <c r="P29" i="2"/>
  <c r="P30" i="2"/>
  <c r="P31" i="2"/>
  <c r="P32" i="2"/>
  <c r="P33" i="2"/>
  <c r="P34" i="2"/>
  <c r="P35" i="2"/>
  <c r="P36" i="2"/>
  <c r="P82" i="2"/>
  <c r="P83" i="2"/>
  <c r="P84" i="2"/>
  <c r="P85" i="2"/>
  <c r="P86" i="2"/>
  <c r="P87" i="2"/>
  <c r="P88" i="2"/>
  <c r="P89" i="2"/>
  <c r="P90" i="2"/>
  <c r="P91" i="2"/>
  <c r="P92" i="2"/>
  <c r="P94" i="2"/>
  <c r="P95" i="2"/>
  <c r="P97" i="2"/>
  <c r="P98" i="2"/>
  <c r="P99" i="2"/>
  <c r="P100" i="2"/>
  <c r="P102" i="2"/>
  <c r="P103" i="2"/>
  <c r="P105" i="2"/>
  <c r="P106" i="2"/>
  <c r="P107" i="2"/>
  <c r="P108" i="2"/>
  <c r="P110" i="2"/>
  <c r="P111" i="2"/>
  <c r="P114" i="2"/>
  <c r="P117" i="2"/>
  <c r="P120" i="2"/>
  <c r="P121" i="2"/>
  <c r="P122" i="2"/>
  <c r="P123" i="2"/>
  <c r="P126" i="2"/>
  <c r="P127" i="2"/>
  <c r="P128" i="2"/>
  <c r="P129" i="2"/>
  <c r="P132" i="2"/>
  <c r="P134" i="2"/>
  <c r="P135" i="2"/>
  <c r="P136" i="2"/>
  <c r="P137" i="2"/>
  <c r="P139" i="2"/>
  <c r="P140" i="2"/>
  <c r="P141" i="2"/>
  <c r="P142" i="2"/>
  <c r="P2" i="2"/>
</calcChain>
</file>

<file path=xl/connections.xml><?xml version="1.0" encoding="utf-8"?>
<connections xmlns="http://schemas.openxmlformats.org/spreadsheetml/2006/main">
  <connection id="1" keepAlive="1" name="Consulta - VALIDAÇÃO DE DADOS" description="Conexão com a consulta 'VALIDAÇÃO DE DADOS' na pasta de trabalho." type="5" refreshedVersion="5" background="1" saveData="1">
    <dbPr connection="provider=Microsoft.Mashup.OleDb.1;data source=$EmbeddedMashup(0561a230-4908-496c-a3ad-cef21d32ae64)$;location=&quot;VALIDAÇÃO DE DADOS&quot;;extended properties=UEsDBBQAAgAIAPdMKVkCszCgqgAAAPoAAAASABwAQ29uZmlnL1BhY2thZ2UueG1sIKIYACigFAAAAAAAAAAAAAAAAAAAAAAAAAAAAIWPwQqCQBiEX0X27r+7ykbK7wp1TYiC6Cq26ZKuomvru3XokXqFgjK6dZsZ5oOZx+2O6dTU3lX1g25NQjgw4ilTtCdtyoSM9uwvSSpxmxeXvFTeq2yGeBp0Qipru5hS5xy4ENq+pAFjnB6zzb6oVJP72gw2N4UiX+r0nyISD+8xMgARgeChgIBxpHOMmTaz5iAgDKIFMKQ/Ma7H2o69kp31Vzuks0X6+SGfUEsDBBQAAgAIAPdMKVk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3TClZZLZmJNoBAADzAwAAEwAcAEZvcm11bGFzL1NlY3Rpb24xLm0gohgAKKAUAAAAAAAAAAAAAAAAAAAAAAAAAAAAfVLBbtpAEL0j8Q8j9wKSg0ja5tCIg4OJgpqKCNP2gFE12FOxzXrX2l1XRIhTD/2AfkSUc2+9+se6a7eBEMCHtfR23sx7b1ZTYpgUENX/04tmo9nQC1SUwivvU3AzDIPyZ/ljBOEAwiAcRR70gJNpNsB+V1IYssBgmRDvfJbqbi7lXeuKcer03Z0wuuXdvou73fOz13EokyKzmNSQEuRKfiMj4+5bOIEBLx+NYgnGjqckJwgS0rr8rZgtJ7hETToOg+j6chSMQwj6gygqf42Ho+ike9pZcr302j6IgnMfjCqo7dca99v4Ei2IjDNTeVhNh4ay3n7H/nsm0p5XM2braYgGZ0/d+zin8gH5wsq8VTKT31kqtes8wbnNocIMXROmpHTrqBwfpv/KA86jBDkq3XNmZhs3E5ZLCLghhancjJkoFPqrVFlf8iITk/uc3LAD6vzVyrth2qBbRCKzHJVh9WqsCGPJYGhp1j6svLrh2X8cxX0F13RtT8rwEOvNLstyTHGo+ny3uvJqFeLmKTyjrjexuA4CNYyp8ohbG6ggqke4TJ4n6G873JL9pGlryMQOlUAZfEBW/tFJwfHgBqr0X4g6Hrzr3/mY56R2A3qR9v7SdbvZYOKY3Iu/UEsBAi0AFAACAAgA90wpWQKzMKCqAAAA+gAAABIAAAAAAAAAAAAAAAAAAAAAAENvbmZpZy9QYWNrYWdlLnhtbFBLAQItABQAAgAIAPdMKVkPyumrpAAAAOkAAAATAAAAAAAAAAAAAAAAAPYAAABbQ29udGVudF9UeXBlc10ueG1sUEsBAi0AFAACAAgA90wpWWS2ZiTaAQAA8wMAABMAAAAAAAAAAAAAAAAA5wEAAEZvcm11bGFzL1NlY3Rpb24xLm1QSwUGAAAAAAMAAwDCAAAADgQAAAAA" command="SELECT * FROM [VALIDAÇÃO DE DADOS]"/>
  </connection>
</connections>
</file>

<file path=xl/sharedStrings.xml><?xml version="1.0" encoding="utf-8"?>
<sst xmlns="http://schemas.openxmlformats.org/spreadsheetml/2006/main" count="1340" uniqueCount="444">
  <si>
    <t>CÓD. 006/23</t>
  </si>
  <si>
    <t>DESCRIÇÃO</t>
  </si>
  <si>
    <t xml:space="preserve">SISTEMA </t>
  </si>
  <si>
    <t>ÁREA SOCP</t>
  </si>
  <si>
    <t>SOCP</t>
  </si>
  <si>
    <t>EF</t>
  </si>
  <si>
    <t>FORAN</t>
  </si>
  <si>
    <t>EM</t>
  </si>
  <si>
    <t>NEST</t>
  </si>
  <si>
    <t>LIBERADO</t>
  </si>
  <si>
    <t>CÓD. 015/20</t>
  </si>
  <si>
    <t>OBSERVAÇÃO</t>
  </si>
  <si>
    <t>INFRA ESTRUTURA ELÉTRICA</t>
  </si>
  <si>
    <t>FEITO</t>
  </si>
  <si>
    <t>COMPRADO</t>
  </si>
  <si>
    <t>L86</t>
  </si>
  <si>
    <t>D47</t>
  </si>
  <si>
    <t>D50</t>
  </si>
  <si>
    <t>1.1.1 COMPARTIMENTO DO PROPULSOR</t>
  </si>
  <si>
    <t>D71</t>
  </si>
  <si>
    <t>D02</t>
  </si>
  <si>
    <t>D04</t>
  </si>
  <si>
    <t>D05</t>
  </si>
  <si>
    <t>D06</t>
  </si>
  <si>
    <t>D07</t>
  </si>
  <si>
    <t>D08</t>
  </si>
  <si>
    <t>FABRICADO</t>
  </si>
  <si>
    <t>4.12.1 AREA EXTERNA (BRIDGE DECK)</t>
  </si>
  <si>
    <t>890</t>
  </si>
  <si>
    <t>1.2.1 PRAÇA DE MÁQUINAS</t>
  </si>
  <si>
    <t>C74</t>
  </si>
  <si>
    <t>2.12.1 AREA EXTERNA (053)</t>
  </si>
  <si>
    <t>D80</t>
  </si>
  <si>
    <t>J36</t>
  </si>
  <si>
    <t>4.13.1 AREA INTERNA COMANDO</t>
  </si>
  <si>
    <t>D84</t>
  </si>
  <si>
    <t>J32</t>
  </si>
  <si>
    <t>10.12.1 AREA EXTERNA (WHEELHAUSE TOP)</t>
  </si>
  <si>
    <t>J33</t>
  </si>
  <si>
    <t>J34</t>
  </si>
  <si>
    <t>5.12.1 AREA EXTERNA (MAIN DECK)</t>
  </si>
  <si>
    <t>K29</t>
  </si>
  <si>
    <t>SISTEMA LUZES DE NAVEGAÇÃO</t>
  </si>
  <si>
    <t>189</t>
  </si>
  <si>
    <t xml:space="preserve">SISTEMA AUXILO A NAVEGAÇÃO </t>
  </si>
  <si>
    <t>188</t>
  </si>
  <si>
    <t>191</t>
  </si>
  <si>
    <t>819</t>
  </si>
  <si>
    <t>820</t>
  </si>
  <si>
    <t>821</t>
  </si>
  <si>
    <t>822</t>
  </si>
  <si>
    <t>A41</t>
  </si>
  <si>
    <t>SISTEMA DE PROPULSÃO E GOVERNO</t>
  </si>
  <si>
    <t>880</t>
  </si>
  <si>
    <t>A44</t>
  </si>
  <si>
    <t>882</t>
  </si>
  <si>
    <t>A45</t>
  </si>
  <si>
    <t>883</t>
  </si>
  <si>
    <t>A47</t>
  </si>
  <si>
    <t>C88</t>
  </si>
  <si>
    <t>A49</t>
  </si>
  <si>
    <t>SISTEMA DISTRIBUIÇÃO DE FORÇA EM CC</t>
  </si>
  <si>
    <t>C89</t>
  </si>
  <si>
    <t>A50</t>
  </si>
  <si>
    <t>C91</t>
  </si>
  <si>
    <t>A51</t>
  </si>
  <si>
    <t>C94</t>
  </si>
  <si>
    <t>A57</t>
  </si>
  <si>
    <t>SISTEMA VIGILÂNCIA</t>
  </si>
  <si>
    <t>T68</t>
  </si>
  <si>
    <t>A58</t>
  </si>
  <si>
    <t>2.11.1 LAVANDERIA (WD)</t>
  </si>
  <si>
    <t>U15</t>
  </si>
  <si>
    <t>A67</t>
  </si>
  <si>
    <t>U17</t>
  </si>
  <si>
    <t>E87</t>
  </si>
  <si>
    <t>SISTEMA DE ILUMINAÇAO PRINCIPAL</t>
  </si>
  <si>
    <t>169</t>
  </si>
  <si>
    <t>F52</t>
  </si>
  <si>
    <t>170</t>
  </si>
  <si>
    <t>F58</t>
  </si>
  <si>
    <t>217</t>
  </si>
  <si>
    <t>F59</t>
  </si>
  <si>
    <t>218</t>
  </si>
  <si>
    <t>SISTEMA DE COMUNICAÇÃO EXTERNA</t>
  </si>
  <si>
    <t>D01</t>
  </si>
  <si>
    <t>F60</t>
  </si>
  <si>
    <t>219</t>
  </si>
  <si>
    <t>F61</t>
  </si>
  <si>
    <t>220</t>
  </si>
  <si>
    <t>F62</t>
  </si>
  <si>
    <t>SISTEMA DISTRIBUIÇÃO CA</t>
  </si>
  <si>
    <t>865</t>
  </si>
  <si>
    <t>2.6.1 CAMAROTE COMANDANTE</t>
  </si>
  <si>
    <t>H95</t>
  </si>
  <si>
    <t>868</t>
  </si>
  <si>
    <t>J65</t>
  </si>
  <si>
    <t>SISTEMA NAVEGAÇÃO</t>
  </si>
  <si>
    <t>881</t>
  </si>
  <si>
    <t>G59</t>
  </si>
  <si>
    <t>SISTEMA DE ATRACAÇÃO, FUNDEIO E REBOQUE</t>
  </si>
  <si>
    <t>885</t>
  </si>
  <si>
    <t>G60</t>
  </si>
  <si>
    <t>888</t>
  </si>
  <si>
    <t>G62</t>
  </si>
  <si>
    <t>1.2.2 PRAÇA DE MÁQUINAS AUXILIAR</t>
  </si>
  <si>
    <t>C64</t>
  </si>
  <si>
    <t>G63</t>
  </si>
  <si>
    <t>C65</t>
  </si>
  <si>
    <t>G64</t>
  </si>
  <si>
    <t>C69</t>
  </si>
  <si>
    <t>4.13.2 AREA INTERNA (WHEELHAUSE PLENUM)</t>
  </si>
  <si>
    <t>G66</t>
  </si>
  <si>
    <t>C73</t>
  </si>
  <si>
    <t>Alterar Projeto 3d , adicionar chapa para antena ssb  (I25)</t>
  </si>
  <si>
    <t>G67</t>
  </si>
  <si>
    <t>C78</t>
  </si>
  <si>
    <t>G68</t>
  </si>
  <si>
    <t>SISTEMA REDE DE COMPUTADORES</t>
  </si>
  <si>
    <t>C80</t>
  </si>
  <si>
    <t>SISTEMA DE AGUAS NEGRAS E CINZAS</t>
  </si>
  <si>
    <t>G74</t>
  </si>
  <si>
    <t>T40</t>
  </si>
  <si>
    <t>G75</t>
  </si>
  <si>
    <t>T39</t>
  </si>
  <si>
    <t>G76</t>
  </si>
  <si>
    <t>T38</t>
  </si>
  <si>
    <t>G77</t>
  </si>
  <si>
    <t>T37</t>
  </si>
  <si>
    <t>G82</t>
  </si>
  <si>
    <t>M02</t>
  </si>
  <si>
    <t>G84</t>
  </si>
  <si>
    <t>J82</t>
  </si>
  <si>
    <t>G85</t>
  </si>
  <si>
    <t>SISTEMA DE LASTRO</t>
  </si>
  <si>
    <t>G86</t>
  </si>
  <si>
    <t>G87</t>
  </si>
  <si>
    <t>G14</t>
  </si>
  <si>
    <t>G88</t>
  </si>
  <si>
    <t>G52</t>
  </si>
  <si>
    <t>G89</t>
  </si>
  <si>
    <t>1.6.1 CAMAROTE CHEFE DE MÁQUINAS</t>
  </si>
  <si>
    <t>J22</t>
  </si>
  <si>
    <t>G90</t>
  </si>
  <si>
    <t>2.9.1 REFEITÓRIO</t>
  </si>
  <si>
    <t>J31</t>
  </si>
  <si>
    <t>G91</t>
  </si>
  <si>
    <t>2.10.2 CORREDOR SAÍDA CONVÉS PRINCIPAL BLOCO 21</t>
  </si>
  <si>
    <t>L41</t>
  </si>
  <si>
    <t>G92</t>
  </si>
  <si>
    <t>M46</t>
  </si>
  <si>
    <t>G93</t>
  </si>
  <si>
    <t>G53</t>
  </si>
  <si>
    <t>G94</t>
  </si>
  <si>
    <t>G54</t>
  </si>
  <si>
    <t>G95</t>
  </si>
  <si>
    <t xml:space="preserve">J12 </t>
  </si>
  <si>
    <t>G96</t>
  </si>
  <si>
    <t>J13</t>
  </si>
  <si>
    <t>G97</t>
  </si>
  <si>
    <t>E12</t>
  </si>
  <si>
    <t xml:space="preserve">G98 </t>
  </si>
  <si>
    <t>2.10.1 CORREDOR ACOMODAÇÕES CP BLOCO21</t>
  </si>
  <si>
    <t>J20</t>
  </si>
  <si>
    <t>G99</t>
  </si>
  <si>
    <t>O03</t>
  </si>
  <si>
    <t>H03</t>
  </si>
  <si>
    <t>O02</t>
  </si>
  <si>
    <t>H04</t>
  </si>
  <si>
    <t>E01</t>
  </si>
  <si>
    <t>H06</t>
  </si>
  <si>
    <t>H07</t>
  </si>
  <si>
    <t>F05</t>
  </si>
  <si>
    <t>H08</t>
  </si>
  <si>
    <t>H75</t>
  </si>
  <si>
    <t>H09</t>
  </si>
  <si>
    <t>M31</t>
  </si>
  <si>
    <t>H10</t>
  </si>
  <si>
    <t>SISTEMA DE COMUNICAÇÃO INTERNA</t>
  </si>
  <si>
    <t>N58</t>
  </si>
  <si>
    <t>H11</t>
  </si>
  <si>
    <t>D21</t>
  </si>
  <si>
    <t>H12</t>
  </si>
  <si>
    <t>J35</t>
  </si>
  <si>
    <t>H82</t>
  </si>
  <si>
    <t>902</t>
  </si>
  <si>
    <t>H83</t>
  </si>
  <si>
    <t>SISTEMA DE DETECÇÃO DE INCÊNDIO</t>
  </si>
  <si>
    <t>901</t>
  </si>
  <si>
    <t>H91</t>
  </si>
  <si>
    <t>906</t>
  </si>
  <si>
    <t>H92</t>
  </si>
  <si>
    <t>905</t>
  </si>
  <si>
    <t>H93</t>
  </si>
  <si>
    <t>803</t>
  </si>
  <si>
    <t>H96</t>
  </si>
  <si>
    <t>870</t>
  </si>
  <si>
    <t>H97</t>
  </si>
  <si>
    <t>2.25.2 ARMÁRIO CO2</t>
  </si>
  <si>
    <t>872</t>
  </si>
  <si>
    <t>H98</t>
  </si>
  <si>
    <t>875</t>
  </si>
  <si>
    <t>I02</t>
  </si>
  <si>
    <t>1.12.1 AREA EXTERNA (OUTBOARD)</t>
  </si>
  <si>
    <t>C82</t>
  </si>
  <si>
    <t>I03</t>
  </si>
  <si>
    <t>630</t>
  </si>
  <si>
    <t>I05</t>
  </si>
  <si>
    <t>C83</t>
  </si>
  <si>
    <t>I08</t>
  </si>
  <si>
    <t>876</t>
  </si>
  <si>
    <t>I10</t>
  </si>
  <si>
    <t>866</t>
  </si>
  <si>
    <t>I11</t>
  </si>
  <si>
    <t>869</t>
  </si>
  <si>
    <t>I12</t>
  </si>
  <si>
    <t>900</t>
  </si>
  <si>
    <t>I13</t>
  </si>
  <si>
    <t>C93</t>
  </si>
  <si>
    <t>I19</t>
  </si>
  <si>
    <t>999</t>
  </si>
  <si>
    <t>SISTEMA DE ALARME SUPERVISÓRIO</t>
  </si>
  <si>
    <t>I21</t>
  </si>
  <si>
    <t>899</t>
  </si>
  <si>
    <t>I28</t>
  </si>
  <si>
    <t>897</t>
  </si>
  <si>
    <t>I32</t>
  </si>
  <si>
    <t>898</t>
  </si>
  <si>
    <t>Passar a informação e modelo 3d para Rafael incluir esse suporte direto no mastro - 2 Unidade Braço BE do mastro</t>
  </si>
  <si>
    <t>I33</t>
  </si>
  <si>
    <t>C81</t>
  </si>
  <si>
    <t>I34</t>
  </si>
  <si>
    <t>C95</t>
  </si>
  <si>
    <t>I96</t>
  </si>
  <si>
    <t>874</t>
  </si>
  <si>
    <t>J10</t>
  </si>
  <si>
    <t>J37</t>
  </si>
  <si>
    <t>873</t>
  </si>
  <si>
    <t>J42</t>
  </si>
  <si>
    <t>877</t>
  </si>
  <si>
    <t>J43</t>
  </si>
  <si>
    <t>805</t>
  </si>
  <si>
    <t>J70</t>
  </si>
  <si>
    <t>Suporte antena Giro Sat Modelo (Precision-9) / Passar a informação e modelo 3d para Rafael incluir esse suporte direto no mastro</t>
  </si>
  <si>
    <t>J88</t>
  </si>
  <si>
    <t>C67</t>
  </si>
  <si>
    <t>E30</t>
  </si>
  <si>
    <t>2.22.4 ESCADA PRAÇA DE MÁQUINAS</t>
  </si>
  <si>
    <t>D79</t>
  </si>
  <si>
    <t>Aguardando definição Reginaldo Projeto</t>
  </si>
  <si>
    <t>P82</t>
  </si>
  <si>
    <t>ESTRATÉGIA DE CONSTRUÇÃO</t>
  </si>
  <si>
    <t>LUVA SOLDÁVEL AÇO CARBONO (ROXTEC)</t>
  </si>
  <si>
    <t>MOLDURA ESTANQUE S 8+8X1 (ROXTEC)</t>
  </si>
  <si>
    <t>MOLDURA ESTANQUE S 4X1 (ROXTEC)</t>
  </si>
  <si>
    <t>MOLDURA ESTANQUE S 7X1 (ROXTEC)</t>
  </si>
  <si>
    <t>MOLDURA ESTANQUE S 8X1 (ROXTEC)</t>
  </si>
  <si>
    <t>MOLDURA ESTANQUE S 6X1 (ROXTEC)</t>
  </si>
  <si>
    <t>MOLDURA ESTANQUE S 2X1 (ROXTEC)</t>
  </si>
  <si>
    <t>PASSAGEM ELÉTRICA 3</t>
  </si>
  <si>
    <t>PASSAGEM ELÉTRICA 12</t>
  </si>
  <si>
    <t>PASSAGEM ELETRICA 8</t>
  </si>
  <si>
    <t>PASSAGEM ELÉTRICA 11</t>
  </si>
  <si>
    <t>PASSAGEM ELÉTRICA 7</t>
  </si>
  <si>
    <t xml:space="preserve">PASSAGEM ELÉTRICA 2 </t>
  </si>
  <si>
    <t>PASSAGEM ELETRICA 4</t>
  </si>
  <si>
    <t>PASSAGEM ELÉTRICA 5</t>
  </si>
  <si>
    <t>PASSAGEM ELÉTRICA 6</t>
  </si>
  <si>
    <t>PASSAGEM ELÉTRICA 10</t>
  </si>
  <si>
    <t>SUPORTE LUMINARIA NAVEGAÇÃO BB</t>
  </si>
  <si>
    <t>BASE LUMINARIA NAVEGAÇÃO BE</t>
  </si>
  <si>
    <t xml:space="preserve">BASE HOLOFOTE DE BUSCA </t>
  </si>
  <si>
    <t>SUPORTE APITO</t>
  </si>
  <si>
    <t>SUPORTE LIMPADOR DE PARABRISA 1</t>
  </si>
  <si>
    <t>SUPORTE LIMPADOR DE PARABRISA 2</t>
  </si>
  <si>
    <t>SUPORTE LIMPADOR DE PARABRISA 3</t>
  </si>
  <si>
    <t>SUPORTE LIMPADOR DE PARABRISA 4</t>
  </si>
  <si>
    <t>SUPORTE PAINEL PROPULSOR BB</t>
  </si>
  <si>
    <t>SUPORTE PAINEL PROPULSOR BE</t>
  </si>
  <si>
    <t>SUPORTE PAINEL PROPULSOR 5</t>
  </si>
  <si>
    <t>SUPORTE PAINEL 7</t>
  </si>
  <si>
    <t>SUPORTE CARREGADOR BATERIA 3</t>
  </si>
  <si>
    <t>SUPORTE PAINEL CARREGAMENTO BATERIAS 1</t>
  </si>
  <si>
    <t>SUPORTE PAINEL CARREGAMENTO BATERIAS 2</t>
  </si>
  <si>
    <t>SUPORTE CÂMERA CFTV 1</t>
  </si>
  <si>
    <t>SUPORTE CÂMERA CFTV 3</t>
  </si>
  <si>
    <t>SUPORTE LUMINARIA 5</t>
  </si>
  <si>
    <t>SUPORTE LUMINARIA 4</t>
  </si>
  <si>
    <t>LEITO PARA CABO ELÉTRICO</t>
  </si>
  <si>
    <t>SUPORTE QUADRO PA203</t>
  </si>
  <si>
    <t xml:space="preserve">SUPORTE QUADRO ENERGIA TERRA </t>
  </si>
  <si>
    <t>CAIXA ESTANQUE PARA TRANSDUTOR</t>
  </si>
  <si>
    <t>SUPORTE PAINEL GUINCHO 2</t>
  </si>
  <si>
    <t>SUPORTE CARREGADOR BATERIA 2</t>
  </si>
  <si>
    <t>SUPORTE PAINEL 3</t>
  </si>
  <si>
    <t>SUPORTE PAINEL 8</t>
  </si>
  <si>
    <t>SUPORTE LUMINARIA 9</t>
  </si>
  <si>
    <t>SUPORTE ANTENA 7</t>
  </si>
  <si>
    <t>SUPORTE SINALIZADOR 3</t>
  </si>
  <si>
    <t>SUPORTE RACK INTERNET</t>
  </si>
  <si>
    <t>SUPORTE CONSOLE SUPERIOR 3</t>
  </si>
  <si>
    <t>COLAR LEITO 15</t>
  </si>
  <si>
    <t>SUPORTE LUMINARIA 11</t>
  </si>
  <si>
    <t>SUPORTE PROJETOR 5</t>
  </si>
  <si>
    <t>SUPORTE LUMINARIA 8</t>
  </si>
  <si>
    <t>SUPORTE PAINEL 9</t>
  </si>
  <si>
    <t>SUPORTE PAINEL 5</t>
  </si>
  <si>
    <t>SUPORTE PAINEL 4</t>
  </si>
  <si>
    <t>SUPORTE PAINEL 2</t>
  </si>
  <si>
    <t>COLAR LEITO 1</t>
  </si>
  <si>
    <t>COLAR LEITO 10</t>
  </si>
  <si>
    <t>COLAR LEITO 11</t>
  </si>
  <si>
    <t>COLAR LEITO 12</t>
  </si>
  <si>
    <t>COLAR LEITO 14</t>
  </si>
  <si>
    <t>COLAR LEITO 2</t>
  </si>
  <si>
    <t>COLAR LEITO 3</t>
  </si>
  <si>
    <t>COLAR LEITO 4</t>
  </si>
  <si>
    <t>COLAR LEITO 5</t>
  </si>
  <si>
    <t>COLAR LEITO 7</t>
  </si>
  <si>
    <t>COLAR LEITO 8</t>
  </si>
  <si>
    <t>SUPORTE AMPLIFICADOR TV</t>
  </si>
  <si>
    <t>SUPORTE ANTENA 8</t>
  </si>
  <si>
    <t xml:space="preserve">SUPORTE CAIXA DE BATERIAS DOS MCPS </t>
  </si>
  <si>
    <t>SUPORTE CARREGADOR BATERIA 4</t>
  </si>
  <si>
    <t>SUPORTE CONSOLE SUPERIOR 1</t>
  </si>
  <si>
    <t>SUPORTE CONSOLE SUPERIOR 2</t>
  </si>
  <si>
    <t>SUPORTE CORNETA 2</t>
  </si>
  <si>
    <t>SUPORTE ESTAÇÃO CHAMADA 3</t>
  </si>
  <si>
    <t>SUPORTE LUMINÁRIA 7</t>
  </si>
  <si>
    <t>SUPORTE BOTOEIRA 1</t>
  </si>
  <si>
    <t>SUPORTE DETECTOR 1</t>
  </si>
  <si>
    <t>SUPORTE ESTAÇÃO CHAMADA 2</t>
  </si>
  <si>
    <t>SUPORTE ESTAÇÃO CHAMADA 1</t>
  </si>
  <si>
    <t>SUPORTE PROJETOR 2</t>
  </si>
  <si>
    <t>SUPORTE CARREGADOR BATERIA 1</t>
  </si>
  <si>
    <t>SUPORTE LUMINARIA 1</t>
  </si>
  <si>
    <t>SUPORTE PROJETOR 1</t>
  </si>
  <si>
    <t>SUPORTE PROJETOR 3</t>
  </si>
  <si>
    <t xml:space="preserve">BASE QUADRO ELETRICO PRINCIPAL </t>
  </si>
  <si>
    <t>BASE CONSOLE</t>
  </si>
  <si>
    <t>SUPORTE TOMADA/INTERRUPTOR</t>
  </si>
  <si>
    <t>SUPORTE LUMINARIA 6</t>
  </si>
  <si>
    <t>SUPORTE QUADRO DC3</t>
  </si>
  <si>
    <t>SUPORTE SINALIZADOR 1</t>
  </si>
  <si>
    <t>SUPORTE BOTOEIRA 2</t>
  </si>
  <si>
    <t>SUPORTE BOTOEIRA 5</t>
  </si>
  <si>
    <t>SUPORTE ANTENA 4</t>
  </si>
  <si>
    <t xml:space="preserve">SUPORTE COLUNA DE ALARMES </t>
  </si>
  <si>
    <t>SUPORTE PROJETOR 4  (C95)</t>
  </si>
  <si>
    <t>SUPORTE LUMINARIA 3</t>
  </si>
  <si>
    <t>SUPORTE INTERRUPTOR TOMADA</t>
  </si>
  <si>
    <t>SUPORTE LUMINÁRIA 2</t>
  </si>
  <si>
    <t>SUPORTE FONE DE OUVIDO (399)</t>
  </si>
  <si>
    <t>SUPORTE CAIXA DE PASSAGEM</t>
  </si>
  <si>
    <t>SUPORTE ANTENA GIRO SATELITE</t>
  </si>
  <si>
    <t>SUPORTE COLUNA DE ALARMES 2</t>
  </si>
  <si>
    <t>MEIA LUVA ROSCADA AÇO PRETO (SUBSTITUIDO POR D47)</t>
  </si>
  <si>
    <t>SUPORTE FONTE SSB</t>
  </si>
  <si>
    <t>SUPORTE RADAR</t>
  </si>
  <si>
    <t>Lista de compartimentos</t>
  </si>
  <si>
    <t>Lista sistemas</t>
  </si>
  <si>
    <t>status</t>
  </si>
  <si>
    <t>SISTEMA ALARME GERAL</t>
  </si>
  <si>
    <t>1.4.1 TANQUE DE OLEO COMBUSTÍVEL DIÁRIO BB</t>
  </si>
  <si>
    <t>1.4.2 TANQUE DE OLEO COMBUSTÍVEL DIÁRIO BE</t>
  </si>
  <si>
    <t>SISTEMA DE COMBATE INCÊNDIO FI-FI</t>
  </si>
  <si>
    <t>SISTEMA AR CONDICIONADO</t>
  </si>
  <si>
    <t>SISTEMA VENTILAÇÃO E EXAUSTÃO</t>
  </si>
  <si>
    <t>1.4.5 TANQUE AGUA DOCE BB</t>
  </si>
  <si>
    <t>1.4.6 TANQUE AGUA DOCE BB</t>
  </si>
  <si>
    <t>1.4.7 TANQUE LASTRO BB</t>
  </si>
  <si>
    <t>1.4.8 TANQUE LASTRO BB BE</t>
  </si>
  <si>
    <t>SISTEMA DE AGUA POTÁVEL</t>
  </si>
  <si>
    <t>SISTEMA DE AGUA OLEOSA E BORRA</t>
  </si>
  <si>
    <t>1.4.10 TANQUE DE ESGOTO LC</t>
  </si>
  <si>
    <t>1.4.11 TANQUE DE AGUA OLEOSA BE</t>
  </si>
  <si>
    <t>SISTEMA AR COMPRIMIDO</t>
  </si>
  <si>
    <t>1.4.12 TANQUE DE OLEO COMBUSTÍVEL OVERFLOW BB</t>
  </si>
  <si>
    <t>SISTEMA DE ARREFEICIMENTO DE MÁQUINAS</t>
  </si>
  <si>
    <t>1.4.13 TANQUE DE BORRA BE</t>
  </si>
  <si>
    <t>1.4.14  TANQUE DE OLEO HIDRÁULICO DO GUINCHO BB</t>
  </si>
  <si>
    <t>SISTEMA HIDRAULICO</t>
  </si>
  <si>
    <t>1.4.15 TANQUE OLEO LUBRIFICANTE MCP BE</t>
  </si>
  <si>
    <t>SISTEMA DE OLEO COMBUSTÍVEL</t>
  </si>
  <si>
    <t>1.4.16 TANQUE OLEO HIIDRAULICO DO PROPULSOR BB</t>
  </si>
  <si>
    <t>SISTEMA DE OLEO LUBRIFICANTE</t>
  </si>
  <si>
    <t>1.4.17 TANQUE OLEO HIIDRAULICO DO PROPULSOR BE</t>
  </si>
  <si>
    <t>SISTEMA DE GERAÇÃO DE ENERGIA</t>
  </si>
  <si>
    <t>1.6.2 CAMAROTE TRIPULAÇAO BE</t>
  </si>
  <si>
    <t>1.6.3 CAMAROTE TRIPULAÇÃO LC</t>
  </si>
  <si>
    <t>1.10.1 CORREDOR ACOMODAÇÕES INFERIORES</t>
  </si>
  <si>
    <t>SISTEMA HIDRÁULICO DO GUINCHO</t>
  </si>
  <si>
    <t>1.12.2 AREA EXTERNA (SKEG)</t>
  </si>
  <si>
    <t>1.19.1 PAIOL DE AMARRAS</t>
  </si>
  <si>
    <t>1.45.1 BOX COLLER BB</t>
  </si>
  <si>
    <t>1.45.2 BOX COLLER BE</t>
  </si>
  <si>
    <t>1.46.1 CAIXA DE MAR FIFI</t>
  </si>
  <si>
    <t>1.46.2 CAIXA DE MAR DOMÉSTICA</t>
  </si>
  <si>
    <t>2.5.1 BANHEIRO (WC)</t>
  </si>
  <si>
    <t>POPA</t>
  </si>
  <si>
    <t>PROA</t>
  </si>
  <si>
    <t>2.7.1 COZINHA</t>
  </si>
  <si>
    <t>CASARIA</t>
  </si>
  <si>
    <t>COMANDO</t>
  </si>
  <si>
    <t>PM</t>
  </si>
  <si>
    <t>2.22.2 ESCADA PASSADIÇO (UP) BLOCO 21</t>
  </si>
  <si>
    <t>2.22.3 ESCADA ACOMODAÇÕES INFERIORES (DONW)</t>
  </si>
  <si>
    <t>2.26.1 GAIUTA DESCARGA GASES BB</t>
  </si>
  <si>
    <t>2.26.2 GAIUTA DESCARGA GASES BE</t>
  </si>
  <si>
    <t>2.26.3 GAIUTA VENTILAÇÃO BB</t>
  </si>
  <si>
    <t>2.26.4 GAIUTA VENTILAÇÃO BE</t>
  </si>
  <si>
    <t>10.12.1 AREA EXTERNA (WHEELHOUSE TOP)</t>
  </si>
  <si>
    <t>11.12.1 AREA EXTERNA RÉ (BULWARK)</t>
  </si>
  <si>
    <t>11.12.4 AREA EXTERNA BE  (BULWARK)</t>
  </si>
  <si>
    <t>Tipo</t>
  </si>
  <si>
    <t>ELEMENTO</t>
  </si>
  <si>
    <t>ACESSÓRIO</t>
  </si>
  <si>
    <t>QUANTIDADE</t>
  </si>
  <si>
    <t>1.4.3 TANQUE OLEO COMBUSTÍVEL LC (RÉ)</t>
  </si>
  <si>
    <t>1.4.4 TANQUE OLEO COMBUSTÍVEL LC (VANTE)</t>
  </si>
  <si>
    <t>1.4.9 TANQUE DE AGUA DE LASTRO LC (VANTE)</t>
  </si>
  <si>
    <t>2.25.1 ARMÁRIO (LOCKER)</t>
  </si>
  <si>
    <t>ESTRÁTÉGIA DE CONSTRUÇÃO</t>
  </si>
  <si>
    <t>PASTA 006/23</t>
  </si>
  <si>
    <t>A37</t>
  </si>
  <si>
    <t>SUPORTE BOTOEIRA 03</t>
  </si>
  <si>
    <t>TIPO</t>
  </si>
  <si>
    <t>CAMINHO MECÂNICO - PRIMÁRIO</t>
  </si>
  <si>
    <t>CAMINHO MECÂNICO - SECUNDÁRIO</t>
  </si>
  <si>
    <t>PENETRAÇÕES - COLAR</t>
  </si>
  <si>
    <t>PENETRAÇÕES - ROXTEC</t>
  </si>
  <si>
    <t>(em branco)</t>
  </si>
  <si>
    <t>Total Geral</t>
  </si>
  <si>
    <t>J44</t>
  </si>
  <si>
    <t>M29</t>
  </si>
  <si>
    <t>SUPORTE PAINEL 10</t>
  </si>
  <si>
    <t>SUPORTE CAIXA DE BATERIAS</t>
  </si>
  <si>
    <t>'</t>
  </si>
  <si>
    <t>SUPORTE CÂMERA CFTV 2</t>
  </si>
  <si>
    <t xml:space="preserve">SUPORTE FIXADOR ANTENA GPS T1 </t>
  </si>
  <si>
    <t>SUPORTE FIXADOR ANTENA GPS 2</t>
  </si>
  <si>
    <t>SUPORTE FIXADOR ANTENA GPS 3</t>
  </si>
  <si>
    <t>N/C</t>
  </si>
  <si>
    <t>Verificar situação da no socp, não informa todos os locais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</si>
</sst>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quotePrefix="1" applyNumberFormat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Fill="1"/>
    <xf numFmtId="0" fontId="0" fillId="3" borderId="0" xfId="0" applyNumberFormat="1" applyFill="1" applyAlignment="1">
      <alignment horizontal="left" vertical="center"/>
    </xf>
    <xf numFmtId="0" fontId="0" fillId="3" borderId="0" xfId="0" applyNumberFormat="1" applyFill="1" applyAlignment="1">
      <alignment horizontal="left"/>
    </xf>
    <xf numFmtId="0" fontId="0" fillId="3" borderId="0" xfId="0" applyFill="1"/>
    <xf numFmtId="0" fontId="0" fillId="2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1" applyNumberFormat="1" applyFont="1" applyFill="1" applyAlignment="1">
      <alignment horizontal="center" vertical="center"/>
    </xf>
    <xf numFmtId="0" fontId="0" fillId="2" borderId="0" xfId="0" applyNumberFormat="1" applyFill="1" applyAlignment="1">
      <alignment horizontal="left"/>
    </xf>
    <xf numFmtId="0" fontId="0" fillId="2" borderId="0" xfId="0" applyFill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/>
    <xf numFmtId="0" fontId="3" fillId="0" borderId="0" xfId="1" applyNumberFormat="1" applyFont="1" applyAlignment="1">
      <alignment horizontal="center" vertical="center"/>
    </xf>
    <xf numFmtId="0" fontId="4" fillId="0" borderId="0" xfId="0" applyNumberFormat="1" applyFont="1" applyAlignment="1">
      <alignment horizontal="left"/>
    </xf>
    <xf numFmtId="0" fontId="0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 applyFont="1" applyAlignment="1">
      <alignment horizontal="left" vertical="center"/>
    </xf>
  </cellXfs>
  <cellStyles count="2">
    <cellStyle name="Hiperligação" xfId="1" builtinId="8"/>
    <cellStyle name="Normal" xfId="0" builtinId="0"/>
  </cellStyles>
  <dxfs count="170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9"/>
      <tableStyleElement type="headerRow" dxfId="168"/>
      <tableStyleElement type="firstRowStripe" dxfId="167"/>
    </tableStyle>
    <tableStyle name="TableStyleQueryResult" pivot="0" count="3">
      <tableStyleElement type="wholeTable" dxfId="166"/>
      <tableStyleElement type="headerRow" dxfId="165"/>
      <tableStyleElement type="firstRowStripe" dxfId="16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4" fmlaRange="'BASE DE DADOS'!$A$2:$A$141" sel="1" val="0"/>
</file>

<file path=xl/ctrlProps/ctrlProp2.xml><?xml version="1.0" encoding="utf-8"?>
<formControlPr xmlns="http://schemas.microsoft.com/office/spreadsheetml/2009/9/main" objectType="List" dx="24" fmlaRange="'BASE DE DADOS'!$C$2:$C$142" multiSel="140, 139, 138, 137, 136, 135, 134, 133, 132, 131, 130, 3, 1" noThreeD="1" sel="0" seltype="multi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182880</xdr:colOff>
      <xdr:row>0</xdr:row>
      <xdr:rowOff>18010</xdr:rowOff>
    </xdr:from>
    <xdr:to>
      <xdr:col>13</xdr:col>
      <xdr:colOff>191194</xdr:colOff>
      <xdr:row>3</xdr:row>
      <xdr:rowOff>24937</xdr:rowOff>
    </xdr:to>
    <xdr:grpSp>
      <xdr:nvGrpSpPr>
        <xdr:cNvPr id="24" name="Grupo 23"/>
        <xdr:cNvGrpSpPr/>
      </xdr:nvGrpSpPr>
      <xdr:grpSpPr>
        <a:xfrm>
          <a:off x="7498080" y="18010"/>
          <a:ext cx="1338350" cy="580505"/>
          <a:chOff x="6982691" y="500149"/>
          <a:chExt cx="1338350" cy="580505"/>
        </a:xfrm>
      </xdr:grpSpPr>
      <xdr:cxnSp macro="">
        <xdr:nvCxnSpPr>
          <xdr:cNvPr id="22" name="Conexão reta 21"/>
          <xdr:cNvCxnSpPr/>
        </xdr:nvCxnSpPr>
        <xdr:spPr>
          <a:xfrm>
            <a:off x="7173884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Conexão reta 22"/>
          <xdr:cNvCxnSpPr/>
        </xdr:nvCxnSpPr>
        <xdr:spPr>
          <a:xfrm>
            <a:off x="8107681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Arredondar Retângulo de Canto do Mesmo Lado 19"/>
          <xdr:cNvSpPr/>
        </xdr:nvSpPr>
        <xdr:spPr>
          <a:xfrm rot="10800000">
            <a:off x="6982691" y="748145"/>
            <a:ext cx="1338350" cy="332509"/>
          </a:xfrm>
          <a:prstGeom prst="round2Same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41564</xdr:colOff>
      <xdr:row>0</xdr:row>
      <xdr:rowOff>41564</xdr:rowOff>
    </xdr:from>
    <xdr:to>
      <xdr:col>2</xdr:col>
      <xdr:colOff>0</xdr:colOff>
      <xdr:row>34</xdr:row>
      <xdr:rowOff>157942</xdr:rowOff>
    </xdr:to>
    <xdr:sp macro="" textlink="">
      <xdr:nvSpPr>
        <xdr:cNvPr id="13" name="Retângulo 12"/>
        <xdr:cNvSpPr/>
      </xdr:nvSpPr>
      <xdr:spPr>
        <a:xfrm>
          <a:off x="41564" y="41564"/>
          <a:ext cx="1288472" cy="6616931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8313</xdr:colOff>
      <xdr:row>0</xdr:row>
      <xdr:rowOff>16625</xdr:rowOff>
    </xdr:from>
    <xdr:to>
      <xdr:col>23</xdr:col>
      <xdr:colOff>0</xdr:colOff>
      <xdr:row>35</xdr:row>
      <xdr:rowOff>0</xdr:rowOff>
    </xdr:to>
    <xdr:sp macro="" textlink="">
      <xdr:nvSpPr>
        <xdr:cNvPr id="3" name="Retângulo 2"/>
        <xdr:cNvSpPr/>
      </xdr:nvSpPr>
      <xdr:spPr>
        <a:xfrm>
          <a:off x="8313" y="16625"/>
          <a:ext cx="15287105" cy="6675120"/>
        </a:xfrm>
        <a:prstGeom prst="rect">
          <a:avLst/>
        </a:prstGeom>
        <a:noFill/>
        <a:ln w="571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0</xdr:row>
      <xdr:rowOff>33251</xdr:rowOff>
    </xdr:from>
    <xdr:to>
      <xdr:col>2</xdr:col>
      <xdr:colOff>8313</xdr:colOff>
      <xdr:row>34</xdr:row>
      <xdr:rowOff>174567</xdr:rowOff>
    </xdr:to>
    <xdr:cxnSp macro="">
      <xdr:nvCxnSpPr>
        <xdr:cNvPr id="5" name="Conexão reta 4"/>
        <xdr:cNvCxnSpPr/>
      </xdr:nvCxnSpPr>
      <xdr:spPr>
        <a:xfrm>
          <a:off x="1330036" y="33251"/>
          <a:ext cx="8313" cy="6641869"/>
        </a:xfrm>
        <a:prstGeom prst="line">
          <a:avLst/>
        </a:prstGeom>
        <a:ln w="3810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217515</xdr:colOff>
      <xdr:row>18</xdr:row>
      <xdr:rowOff>166254</xdr:rowOff>
    </xdr:from>
    <xdr:to>
      <xdr:col>1</xdr:col>
      <xdr:colOff>483522</xdr:colOff>
      <xdr:row>20</xdr:row>
      <xdr:rowOff>108064</xdr:rowOff>
    </xdr:to>
    <xdr:sp macro="[0]!naveg" textlink="">
      <xdr:nvSpPr>
        <xdr:cNvPr id="6" name="Retângulo arredondado 5"/>
        <xdr:cNvSpPr/>
      </xdr:nvSpPr>
      <xdr:spPr>
        <a:xfrm>
          <a:off x="217515" y="3607723"/>
          <a:ext cx="931025" cy="324196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217515</xdr:colOff>
      <xdr:row>21</xdr:row>
      <xdr:rowOff>153785</xdr:rowOff>
    </xdr:from>
    <xdr:to>
      <xdr:col>1</xdr:col>
      <xdr:colOff>483522</xdr:colOff>
      <xdr:row>23</xdr:row>
      <xdr:rowOff>95595</xdr:rowOff>
    </xdr:to>
    <xdr:sp macro="[0]!PROA" textlink="">
      <xdr:nvSpPr>
        <xdr:cNvPr id="7" name="Retângulo arredondado 6"/>
        <xdr:cNvSpPr/>
      </xdr:nvSpPr>
      <xdr:spPr>
        <a:xfrm>
          <a:off x="217515" y="4168832"/>
          <a:ext cx="931025" cy="324196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217515</xdr:colOff>
      <xdr:row>24</xdr:row>
      <xdr:rowOff>141316</xdr:rowOff>
    </xdr:from>
    <xdr:to>
      <xdr:col>1</xdr:col>
      <xdr:colOff>483522</xdr:colOff>
      <xdr:row>26</xdr:row>
      <xdr:rowOff>83126</xdr:rowOff>
    </xdr:to>
    <xdr:sp macro="" textlink="">
      <xdr:nvSpPr>
        <xdr:cNvPr id="8" name="Retângulo arredondado 7"/>
        <xdr:cNvSpPr/>
      </xdr:nvSpPr>
      <xdr:spPr>
        <a:xfrm>
          <a:off x="217515" y="4729941"/>
          <a:ext cx="931025" cy="324196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217515</xdr:colOff>
      <xdr:row>27</xdr:row>
      <xdr:rowOff>128846</xdr:rowOff>
    </xdr:from>
    <xdr:to>
      <xdr:col>1</xdr:col>
      <xdr:colOff>483522</xdr:colOff>
      <xdr:row>29</xdr:row>
      <xdr:rowOff>70657</xdr:rowOff>
    </xdr:to>
    <xdr:sp macro="" textlink="">
      <xdr:nvSpPr>
        <xdr:cNvPr id="9" name="Retângulo arredondado 8"/>
        <xdr:cNvSpPr/>
      </xdr:nvSpPr>
      <xdr:spPr>
        <a:xfrm>
          <a:off x="217515" y="5291050"/>
          <a:ext cx="931025" cy="324196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217515</xdr:colOff>
      <xdr:row>30</xdr:row>
      <xdr:rowOff>116378</xdr:rowOff>
    </xdr:from>
    <xdr:to>
      <xdr:col>1</xdr:col>
      <xdr:colOff>483522</xdr:colOff>
      <xdr:row>32</xdr:row>
      <xdr:rowOff>58189</xdr:rowOff>
    </xdr:to>
    <xdr:sp macro="" textlink="">
      <xdr:nvSpPr>
        <xdr:cNvPr id="10" name="Retângulo arredondado 9"/>
        <xdr:cNvSpPr/>
      </xdr:nvSpPr>
      <xdr:spPr>
        <a:xfrm>
          <a:off x="217515" y="5852160"/>
          <a:ext cx="931025" cy="324196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141316</xdr:colOff>
      <xdr:row>0</xdr:row>
      <xdr:rowOff>108066</xdr:rowOff>
    </xdr:from>
    <xdr:to>
      <xdr:col>1</xdr:col>
      <xdr:colOff>558398</xdr:colOff>
      <xdr:row>5</xdr:row>
      <xdr:rowOff>99752</xdr:rowOff>
    </xdr:to>
    <xdr:pic>
      <xdr:nvPicPr>
        <xdr:cNvPr id="12" name="Imagem 11" descr="Estaleiro Rio Maguari | Navalshore - Feira e Conferência da Indústria  Marítim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16" y="108066"/>
          <a:ext cx="1082100" cy="9476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xdr:twoCellAnchor>
    <xdr:from>
      <xdr:col>2</xdr:col>
      <xdr:colOff>33251</xdr:colOff>
      <xdr:row>11</xdr:row>
      <xdr:rowOff>99753</xdr:rowOff>
    </xdr:from>
    <xdr:to>
      <xdr:col>22</xdr:col>
      <xdr:colOff>648393</xdr:colOff>
      <xdr:row>12</xdr:row>
      <xdr:rowOff>74814</xdr:rowOff>
    </xdr:to>
    <xdr:sp macro="" textlink="">
      <xdr:nvSpPr>
        <xdr:cNvPr id="17" name="Retângulo 16"/>
        <xdr:cNvSpPr/>
      </xdr:nvSpPr>
      <xdr:spPr>
        <a:xfrm>
          <a:off x="1363287" y="2202873"/>
          <a:ext cx="13915506" cy="16625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19396</xdr:colOff>
      <xdr:row>24</xdr:row>
      <xdr:rowOff>36022</xdr:rowOff>
    </xdr:from>
    <xdr:to>
      <xdr:col>22</xdr:col>
      <xdr:colOff>634538</xdr:colOff>
      <xdr:row>25</xdr:row>
      <xdr:rowOff>11083</xdr:rowOff>
    </xdr:to>
    <xdr:sp macro="" textlink="">
      <xdr:nvSpPr>
        <xdr:cNvPr id="18" name="Retângulo 17"/>
        <xdr:cNvSpPr/>
      </xdr:nvSpPr>
      <xdr:spPr>
        <a:xfrm>
          <a:off x="1349432" y="4624647"/>
          <a:ext cx="13915506" cy="16625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182880</xdr:colOff>
      <xdr:row>11</xdr:row>
      <xdr:rowOff>170410</xdr:rowOff>
    </xdr:from>
    <xdr:to>
      <xdr:col>13</xdr:col>
      <xdr:colOff>191194</xdr:colOff>
      <xdr:row>14</xdr:row>
      <xdr:rowOff>177337</xdr:rowOff>
    </xdr:to>
    <xdr:grpSp>
      <xdr:nvGrpSpPr>
        <xdr:cNvPr id="25" name="Grupo 24"/>
        <xdr:cNvGrpSpPr/>
      </xdr:nvGrpSpPr>
      <xdr:grpSpPr>
        <a:xfrm>
          <a:off x="7498080" y="2273530"/>
          <a:ext cx="1338350" cy="580505"/>
          <a:chOff x="6982691" y="500149"/>
          <a:chExt cx="1338350" cy="580505"/>
        </a:xfrm>
      </xdr:grpSpPr>
      <xdr:cxnSp macro="">
        <xdr:nvCxnSpPr>
          <xdr:cNvPr id="26" name="Conexão reta 25"/>
          <xdr:cNvCxnSpPr/>
        </xdr:nvCxnSpPr>
        <xdr:spPr>
          <a:xfrm>
            <a:off x="7173884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Conexão reta 26"/>
          <xdr:cNvCxnSpPr/>
        </xdr:nvCxnSpPr>
        <xdr:spPr>
          <a:xfrm>
            <a:off x="8107681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Arredondar Retângulo de Canto do Mesmo Lado 27"/>
          <xdr:cNvSpPr/>
        </xdr:nvSpPr>
        <xdr:spPr>
          <a:xfrm rot="10800000">
            <a:off x="6982691" y="748145"/>
            <a:ext cx="1338350" cy="332509"/>
          </a:xfrm>
          <a:prstGeom prst="round2Same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11</xdr:col>
      <xdr:colOff>182880</xdr:colOff>
      <xdr:row>24</xdr:row>
      <xdr:rowOff>141317</xdr:rowOff>
    </xdr:from>
    <xdr:to>
      <xdr:col>13</xdr:col>
      <xdr:colOff>191194</xdr:colOff>
      <xdr:row>27</xdr:row>
      <xdr:rowOff>148243</xdr:rowOff>
    </xdr:to>
    <xdr:grpSp>
      <xdr:nvGrpSpPr>
        <xdr:cNvPr id="29" name="Grupo 28"/>
        <xdr:cNvGrpSpPr/>
      </xdr:nvGrpSpPr>
      <xdr:grpSpPr>
        <a:xfrm>
          <a:off x="7498080" y="4729942"/>
          <a:ext cx="1338350" cy="580505"/>
          <a:chOff x="6982691" y="500149"/>
          <a:chExt cx="1338350" cy="580505"/>
        </a:xfrm>
      </xdr:grpSpPr>
      <xdr:cxnSp macro="">
        <xdr:nvCxnSpPr>
          <xdr:cNvPr id="30" name="Conexão reta 29"/>
          <xdr:cNvCxnSpPr/>
        </xdr:nvCxnSpPr>
        <xdr:spPr>
          <a:xfrm>
            <a:off x="7173884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Conexão reta 30"/>
          <xdr:cNvCxnSpPr/>
        </xdr:nvCxnSpPr>
        <xdr:spPr>
          <a:xfrm>
            <a:off x="8107681" y="500149"/>
            <a:ext cx="0" cy="448887"/>
          </a:xfrm>
          <a:prstGeom prst="line">
            <a:avLst/>
          </a:prstGeom>
          <a:ln w="381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Arredondar Retângulo de Canto do Mesmo Lado 31"/>
          <xdr:cNvSpPr/>
        </xdr:nvSpPr>
        <xdr:spPr>
          <a:xfrm rot="10800000">
            <a:off x="6982691" y="748145"/>
            <a:ext cx="1338350" cy="332509"/>
          </a:xfrm>
          <a:prstGeom prst="round2Same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386541</xdr:colOff>
      <xdr:row>0</xdr:row>
      <xdr:rowOff>157941</xdr:rowOff>
    </xdr:from>
    <xdr:to>
      <xdr:col>6</xdr:col>
      <xdr:colOff>286788</xdr:colOff>
      <xdr:row>10</xdr:row>
      <xdr:rowOff>120533</xdr:rowOff>
    </xdr:to>
    <xdr:graphicFrame macro="">
      <xdr:nvGraphicFramePr>
        <xdr:cNvPr id="34" name="Gráfico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386541</xdr:colOff>
      <xdr:row>13</xdr:row>
      <xdr:rowOff>16627</xdr:rowOff>
    </xdr:from>
    <xdr:to>
      <xdr:col>6</xdr:col>
      <xdr:colOff>286788</xdr:colOff>
      <xdr:row>22</xdr:row>
      <xdr:rowOff>170411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241069</xdr:colOff>
      <xdr:row>25</xdr:row>
      <xdr:rowOff>108065</xdr:rowOff>
    </xdr:from>
    <xdr:to>
      <xdr:col>6</xdr:col>
      <xdr:colOff>432261</xdr:colOff>
      <xdr:row>34</xdr:row>
      <xdr:rowOff>58189</xdr:rowOff>
    </xdr:to>
    <xdr:graphicFrame macro="">
      <xdr:nvGraphicFramePr>
        <xdr:cNvPr id="36" name="Gráfico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357447</xdr:colOff>
          <xdr:row>2</xdr:row>
          <xdr:rowOff>49876</xdr:rowOff>
        </xdr:from>
        <xdr:to>
          <xdr:col>14</xdr:col>
          <xdr:colOff>1180407</xdr:colOff>
          <xdr:row>10</xdr:row>
          <xdr:rowOff>49876</xdr:rowOff>
        </xdr:to>
        <xdr:sp macro="" textlink="">
          <xdr:nvSpPr>
            <xdr:cNvPr id="1027" name="List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465513</xdr:colOff>
          <xdr:row>2</xdr:row>
          <xdr:rowOff>133004</xdr:rowOff>
        </xdr:from>
        <xdr:to>
          <xdr:col>18</xdr:col>
          <xdr:colOff>8313</xdr:colOff>
          <xdr:row>10</xdr:row>
          <xdr:rowOff>133004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jeto4" refreshedDate="45544.549708796294" createdVersion="5" refreshedVersion="5" minRefreshableVersion="3" recordCount="134">
  <cacheSource type="worksheet">
    <worksheetSource name="_xlnm.Database"/>
  </cacheSource>
  <cacheFields count="17">
    <cacheField name="CÓD. 006/23" numFmtId="0">
      <sharedItems containsBlank="1" containsMixedTypes="1" containsNumber="1" containsInteger="1" minValue="741" maxValue="932" count="128">
        <n v="741"/>
        <n v="742"/>
        <n v="743"/>
        <n v="747"/>
        <n v="753"/>
        <n v="757"/>
        <n v="762"/>
        <n v="763"/>
        <n v="764"/>
        <n v="765"/>
        <n v="771"/>
        <n v="789"/>
        <n v="796"/>
        <n v="801"/>
        <n v="804"/>
        <n v="810"/>
        <n v="815"/>
        <n v="821"/>
        <n v="822"/>
        <n v="829"/>
        <n v="860"/>
        <n v="861"/>
        <n v="927"/>
        <n v="928"/>
        <n v="929"/>
        <n v="930"/>
        <n v="931"/>
        <n v="932"/>
        <s v="A38"/>
        <s v="A41"/>
        <s v="A44"/>
        <s v="A45"/>
        <s v="A47"/>
        <s v="A49"/>
        <s v="A50"/>
        <s v="A51"/>
        <s v="A57"/>
        <s v="A58"/>
        <s v="A61"/>
        <s v="A67"/>
        <s v="E87"/>
        <s v="F52"/>
        <s v="F58"/>
        <s v="F59"/>
        <s v="F60"/>
        <s v="F61"/>
        <s v="F62"/>
        <s v="H94"/>
        <s v="H95"/>
        <s v="J65"/>
        <s v="G55"/>
        <s v="G59"/>
        <s v="G60"/>
        <s v="G61"/>
        <s v="G62"/>
        <s v="G63"/>
        <s v="G64"/>
        <s v="G65"/>
        <s v="G66"/>
        <s v="G67"/>
        <s v="G68"/>
        <s v="G70"/>
        <s v="G73"/>
        <s v="G74"/>
        <s v="G75"/>
        <s v="G76"/>
        <s v="G77"/>
        <s v="G82"/>
        <s v="G84"/>
        <s v="G85"/>
        <s v="G86"/>
        <s v="G87"/>
        <s v="G88"/>
        <s v="G89"/>
        <s v="G90"/>
        <s v="G91"/>
        <s v="G92"/>
        <s v="G93"/>
        <s v="G94"/>
        <s v="G95"/>
        <s v="G96"/>
        <s v="G97"/>
        <s v="G98 "/>
        <s v="G99"/>
        <s v="H01"/>
        <s v="H03"/>
        <s v="H04"/>
        <s v="H06"/>
        <s v="H07"/>
        <s v="H08"/>
        <s v="H09"/>
        <s v="H10"/>
        <s v="H11"/>
        <s v="H12"/>
        <s v="H82"/>
        <s v="H83"/>
        <s v="H84"/>
        <s v="H91"/>
        <s v="H92"/>
        <s v="H93"/>
        <s v="H96"/>
        <s v="H97"/>
        <s v="H98"/>
        <s v="I02"/>
        <s v="I03"/>
        <s v="I05"/>
        <s v="I08"/>
        <s v="I09"/>
        <s v="I10"/>
        <s v="I11"/>
        <s v="I12"/>
        <s v="I13"/>
        <s v="I19"/>
        <s v="I20"/>
        <s v="I21"/>
        <s v="I28"/>
        <s v="I32"/>
        <s v="I33"/>
        <s v="I34"/>
        <s v="I96"/>
        <s v="J10"/>
        <s v="J37"/>
        <s v="J42"/>
        <s v="J43"/>
        <s v="J70"/>
        <s v="J88"/>
        <s v="A37"/>
        <m/>
      </sharedItems>
    </cacheField>
    <cacheField name="CÓD. 015/20" numFmtId="0">
      <sharedItems containsBlank="1"/>
    </cacheField>
    <cacheField name="QUANTIDADE" numFmtId="0">
      <sharedItems containsString="0" containsBlank="1" containsNumber="1" containsInteger="1" minValue="2" maxValue="2" count="2">
        <n v="2"/>
        <m/>
      </sharedItems>
    </cacheField>
    <cacheField name="PASTA 006/23" numFmtId="0">
      <sharedItems containsBlank="1" count="2">
        <m/>
        <s v="AF52"/>
      </sharedItems>
    </cacheField>
    <cacheField name="DESCRIÇÃO" numFmtId="0">
      <sharedItems containsBlank="1" count="128">
        <s v="LUVA SOLDÁVEL AÇO CARBONO (ROXTEC)"/>
        <s v="MOLDURA ESTANQUE S 8+8X1 (ROXTEC)"/>
        <s v="MOLDURA ESTANQUE S 4X1 (ROXTEC)"/>
        <s v="MOLDURA ESTANQUE S 7X1 (ROXTEC)"/>
        <s v="MOLDURA ESTANQUE S 8X1 (ROXTEC)"/>
        <s v="MOLDURA ESTANQUE S 6X1 (ROXTEC)"/>
        <s v="MOLDURA ESTANQUE S 2X1 (ROXTEC)"/>
        <s v="GATEIRA"/>
        <s v="PASSAGEM ELÉTRICA 3"/>
        <s v="PASSAGEM ELÉTRICA 12"/>
        <s v="PASSAGEM ELETRICA 8"/>
        <s v="PASSAGEM ELÉTRICA 11"/>
        <s v="PASSAGEM ELÉTRICA 7"/>
        <s v="PASSAGEM ELÉTRICA 2 "/>
        <s v="PASSAGEM ELETRICA 4"/>
        <s v="PASSAGEM ELÉTRICA 5"/>
        <s v="PASSAGEM ELÉTRICA 6"/>
        <s v="PASSAGEM ELÉTRICA 10"/>
        <s v="SUPORTE LUMINARIA NAVEGAÇÃO BB"/>
        <s v="BASE LUMINARIA NAVEGAÇÃO BE"/>
        <s v="BASE HOLOFOTE DE BUSCA "/>
        <s v="SUPORTE APITO"/>
        <s v="SUPORTE LIMPADOR DE PARABRISA 1"/>
        <s v="SUPORTE LIMPADOR DE PARABRISA 2"/>
        <s v="SUPORTE LIMPADOR DE PARABRISA 3"/>
        <s v="SUPORTE LIMPADOR DE PARABRISA 4"/>
        <s v="BASE GRUPO GERADOR"/>
        <s v="SUPORTE PAINEL PROPULSOR BB"/>
        <s v="SUPORTE PAINEL PROPULSOR BE"/>
        <s v="SUPORTE PAINEL PROPULSOR 5"/>
        <s v="SUPORTE PAINEL 7"/>
        <s v="SUPORTE CARREGADOR BATERIA 3"/>
        <s v="SUPORTE PAINEL CARREGAMENTO BATERIAS 1"/>
        <s v="SUPORTE PAINEL CARREGAMENTO BATERIAS 2"/>
        <s v="SUPORTE CÂMERA CFTV"/>
        <s v="SUPORTE CÂMERA CFTV 1"/>
        <s v="SUPORTE CAIXA CFTV"/>
        <s v="SUPORTE CÂMERA CFTV 3"/>
        <s v="SUPORTE LUMINARIA 5"/>
        <s v="SUPORTE LUMINARIA 4"/>
        <s v="LEITO PARA CABO ELÉTRICO"/>
        <s v="SUPORTE ANTENA AIS"/>
        <s v="SUPORTE QUADRO PA203"/>
        <s v="SUPORTE QUADRO PB202"/>
        <s v="SUPORTE QUADRO ENERGIA TERRA "/>
        <s v="CAIXA ESTANQUE PARA TRANSDUTOR"/>
        <s v="SUPORTE PAINEL 1"/>
        <s v="SUPORTE PAINEL GUINCHO 2"/>
        <s v="SUPORTE CARREGADOR BATERIA 2"/>
        <s v="SUPORTE QUADRO 1"/>
        <s v="SUPORTE PAINEL 3"/>
        <s v="SUPORTE PAINEL 8"/>
        <s v="SUPORTE LUMINARIA 9"/>
        <s v="SUPORTE TRANSCEIVER UNIT 1"/>
        <s v="SUPORTE ANTENA 7"/>
        <s v="SUPORTE SINALIZADOR 3"/>
        <s v="SUPORTE RACK INTERNET"/>
        <s v="SUPORTE CAIXA DE BATERIAS GERADORES "/>
        <s v="SUPORTE SENSOR DE NIVEL"/>
        <s v="SUPORTE CONSOLE SUPERIOR 3"/>
        <s v="COLAR LEITO 15"/>
        <s v="SUPORTE LUMINARIA 11"/>
        <s v="SUPORTE PROJETOR 5"/>
        <s v="SUPORTE LUMINARIA 8"/>
        <s v="SUPORTE PAINEL 9"/>
        <s v="SUPORTE PAINEL 5"/>
        <s v="SUPORTE PAINEL 4"/>
        <s v="SUPORTE PAINEL 2"/>
        <s v="COLAR LEITO 1"/>
        <s v="COLAR LEITO 10"/>
        <s v="COLAR LEITO 11"/>
        <s v="COLAR LEITO 12"/>
        <s v="COLAR LEITO 14"/>
        <s v="COLAR LEITO 2"/>
        <s v="COLAR LEITO 3"/>
        <s v="COLAR LEITO 4"/>
        <s v="COLAR LEITO 5"/>
        <s v="COLAR LEITO 7"/>
        <s v="COLAR LEITO 8"/>
        <s v="SUPORTE AMPLIFICADOR TV"/>
        <s v="SUPORTE ANTENA 10"/>
        <s v="SUPORTE ANTENA 8"/>
        <s v="SUPORTE CAIXA DE BATERIAS DO DC-3 "/>
        <s v="SUPORTE CAIXA DE BATERIAS DOS MCPS "/>
        <s v="SUPORTE CARREGADOR BATERIA 4"/>
        <s v="SUPORTE CONSOLE SUPERIOR 1"/>
        <s v="SUPORTE CONSOLE SUPERIOR 2"/>
        <s v="SUPORTE CORNETA 2"/>
        <s v="SUPORTE ESTAÇÃO CHAMADA 3"/>
        <s v="SUPORTE LUMINÁRIA 7"/>
        <s v="SUPORTE BOTOEIRA 1"/>
        <s v="SUPORTE DETECTOR 1"/>
        <s v="SUPORTE SINALIZADOR 2"/>
        <s v="SUPORTE ESTAÇÃO CHAMADA 2"/>
        <s v="SUPORTE ESTAÇÃO CHAMADA 1"/>
        <s v="SUPORTE PROJETOR 2"/>
        <s v="SUPORTE CARREGADOR BATERIA 1"/>
        <s v="SUPORTE LUMINARIA 1"/>
        <s v="SUPORTE PROJETOR 1"/>
        <s v="SUPORTE PROJETOR 3"/>
        <s v="BASE QUADRO ELETRICO PRINCIPAL "/>
        <s v="BASE CONSOLE"/>
        <s v="SUPORTE TOMADA/INTERRUPTOR"/>
        <s v="SUPORTE CORNETA 1"/>
        <s v="SUPORTE LUMINARIA 6"/>
        <s v="SUPORTE QUADRO DC3"/>
        <s v="SUPORTE SINALIZADOR 1"/>
        <s v="SUPORTE BOTOEIRA 2"/>
        <s v="SUPORTE BOTOEIRA 5"/>
        <s v="SUPORTE CHAVE DE NIVEL"/>
        <s v="SUPORTE ANTENA 6"/>
        <s v="SUPORTE ANTENA 4"/>
        <s v="SUPORTE ANTENA 5"/>
        <s v="SUPORTE COLUNA DE ALARMES "/>
        <s v="SUPORTE PROJETOR 4  (C95)"/>
        <s v="SUPORTE LUMINARIA 3"/>
        <s v="SUPORTE INTERRUPTOR TOMADA"/>
        <s v="SUPORTE LUMINÁRIA 2"/>
        <s v="SUPORTE FONE DE OUVIDO (399)"/>
        <s v="SUPORTE CAIXA DE PASSAGEM"/>
        <s v="SUPORTE ANTENA GIRO SATELITE"/>
        <s v="SUPORTE COLUNA DE ALARMES 2"/>
        <s v="SUPORTE BOTOEIRA 03"/>
        <s v="MEIA LUVA ROSCADA AÇO PRETO (SUBSTITUIDO POR D47)"/>
        <s v="SUPORTE BOTOEIRA 4 "/>
        <s v="SUPORTE FONTE SSB"/>
        <s v="SUPORTE RADAR"/>
        <m/>
      </sharedItems>
    </cacheField>
    <cacheField name="SISTEMA " numFmtId="0">
      <sharedItems containsBlank="1" count="18">
        <s v="INFRA ESTRUTURA ELÉTRICA"/>
        <m/>
        <s v="SISTEMA LUZES DE NAVEGAÇÃO"/>
        <s v="SISTEMA AUXILO A NAVEGAÇÃO "/>
        <s v="SISTEMA DE PROPULSÃO E GOVERNO"/>
        <s v="SISTEMA DISTRIBUIÇÃO DE FORÇA EM CC"/>
        <s v="SISTEMA VIGILÂNCIA"/>
        <s v="SISTEMA DE ILUMINAÇAO PRINCIPAL"/>
        <s v="SISTEMA DE COMUNICAÇÃO EXTERNA"/>
        <s v="SISTEMA DISTRIBUIÇÃO CA"/>
        <s v="SISTEMA NAVEGAÇÃO"/>
        <s v="SISTEMA DE ATRACAÇÃO, FUNDEIO E REBOQUE"/>
        <s v="SISTEMA REDE DE COMPUTADORES"/>
        <s v="SISTEMA DE AGUAS NEGRAS E CINZAS"/>
        <s v="SISTEMA DE LASTRO"/>
        <s v="SISTEMA DE COMUNICAÇÃO INTERNA"/>
        <s v="SISTEMA DE DETECÇÃO DE INCÊNDIO"/>
        <s v="SISTEMA DE ALARME SUPERVISÓRIO"/>
      </sharedItems>
    </cacheField>
    <cacheField name="ESTRATÉGIA DE CONSTRUÇÃO" numFmtId="0">
      <sharedItems containsBlank="1" count="3">
        <s v="PROA"/>
        <s v="POPA"/>
        <m/>
      </sharedItems>
    </cacheField>
    <cacheField name="ÁREA SOCP" numFmtId="0">
      <sharedItems containsBlank="1"/>
    </cacheField>
    <cacheField name="SOCP" numFmtId="0">
      <sharedItems containsBlank="1" count="2">
        <s v="FEITO"/>
        <m/>
      </sharedItems>
    </cacheField>
    <cacheField name="EF" numFmtId="0">
      <sharedItems containsBlank="1"/>
    </cacheField>
    <cacheField name="FORAN" numFmtId="0">
      <sharedItems containsBlank="1"/>
    </cacheField>
    <cacheField name="ELEMENTO" numFmtId="0">
      <sharedItems containsNonDate="0" containsString="0" containsBlank="1" count="1">
        <m/>
      </sharedItems>
    </cacheField>
    <cacheField name="TIPO" numFmtId="0">
      <sharedItems containsBlank="1"/>
    </cacheField>
    <cacheField name="EM" numFmtId="0">
      <sharedItems containsBlank="1" count="2">
        <m/>
        <s v="FEITO"/>
      </sharedItems>
    </cacheField>
    <cacheField name="NEST" numFmtId="0">
      <sharedItems containsBlank="1"/>
    </cacheField>
    <cacheField name="LIBERADO" numFmtId="0">
      <sharedItems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">
  <r>
    <x v="0"/>
    <s v="L86"/>
    <x v="0"/>
    <x v="0"/>
    <x v="0"/>
    <x v="0"/>
    <x v="0"/>
    <m/>
    <x v="0"/>
    <m/>
    <m/>
    <x v="0"/>
    <s v="COMPRADO"/>
    <x v="0"/>
    <m/>
    <s v=""/>
    <m/>
  </r>
  <r>
    <x v="1"/>
    <s v="D47"/>
    <x v="1"/>
    <x v="0"/>
    <x v="0"/>
    <x v="0"/>
    <x v="1"/>
    <m/>
    <x v="0"/>
    <m/>
    <m/>
    <x v="0"/>
    <s v="COMPRADO"/>
    <x v="0"/>
    <m/>
    <s v=""/>
    <m/>
  </r>
  <r>
    <x v="2"/>
    <s v="D50"/>
    <x v="0"/>
    <x v="0"/>
    <x v="0"/>
    <x v="0"/>
    <x v="1"/>
    <m/>
    <x v="0"/>
    <m/>
    <m/>
    <x v="0"/>
    <s v="COMPRADO"/>
    <x v="0"/>
    <m/>
    <s v=""/>
    <m/>
  </r>
  <r>
    <x v="3"/>
    <s v="D71"/>
    <x v="1"/>
    <x v="0"/>
    <x v="0"/>
    <x v="0"/>
    <x v="1"/>
    <s v="1.1.1 COMPARTIMENTO DO PROPULSOR"/>
    <x v="0"/>
    <m/>
    <s v="FEITO"/>
    <x v="0"/>
    <s v="COMPRADO"/>
    <x v="1"/>
    <m/>
    <s v=""/>
    <m/>
  </r>
  <r>
    <x v="4"/>
    <s v="D02"/>
    <x v="0"/>
    <x v="0"/>
    <x v="1"/>
    <x v="0"/>
    <x v="2"/>
    <m/>
    <x v="0"/>
    <m/>
    <s v="FEITO"/>
    <x v="0"/>
    <s v="COMPRADO"/>
    <x v="0"/>
    <m/>
    <s v=""/>
    <m/>
  </r>
  <r>
    <x v="5"/>
    <s v="D04"/>
    <x v="0"/>
    <x v="0"/>
    <x v="2"/>
    <x v="0"/>
    <x v="2"/>
    <m/>
    <x v="0"/>
    <m/>
    <s v="FEITO"/>
    <x v="0"/>
    <s v="COMPRADO"/>
    <x v="0"/>
    <m/>
    <s v=""/>
    <m/>
  </r>
  <r>
    <x v="6"/>
    <s v="D05"/>
    <x v="1"/>
    <x v="0"/>
    <x v="3"/>
    <x v="0"/>
    <x v="2"/>
    <m/>
    <x v="0"/>
    <m/>
    <m/>
    <x v="0"/>
    <s v="COMPRADO"/>
    <x v="0"/>
    <m/>
    <s v=""/>
    <m/>
  </r>
  <r>
    <x v="7"/>
    <s v="D06"/>
    <x v="0"/>
    <x v="0"/>
    <x v="4"/>
    <x v="0"/>
    <x v="2"/>
    <s v="1.1.1 COMPARTIMENTO DO PROPULSOR"/>
    <x v="0"/>
    <s v="FEITO"/>
    <s v="FEITO"/>
    <x v="0"/>
    <s v="COMPRADO"/>
    <x v="1"/>
    <m/>
    <s v="FEITO"/>
    <m/>
  </r>
  <r>
    <x v="8"/>
    <s v="D07"/>
    <x v="1"/>
    <x v="0"/>
    <x v="5"/>
    <x v="0"/>
    <x v="2"/>
    <m/>
    <x v="0"/>
    <m/>
    <m/>
    <x v="0"/>
    <s v="COMPRADO"/>
    <x v="0"/>
    <m/>
    <s v=""/>
    <m/>
  </r>
  <r>
    <x v="9"/>
    <s v="D08"/>
    <x v="1"/>
    <x v="0"/>
    <x v="6"/>
    <x v="0"/>
    <x v="2"/>
    <m/>
    <x v="0"/>
    <m/>
    <m/>
    <x v="0"/>
    <s v="COMPRADO"/>
    <x v="0"/>
    <m/>
    <s v=""/>
    <m/>
  </r>
  <r>
    <x v="10"/>
    <s v="181"/>
    <x v="1"/>
    <x v="0"/>
    <x v="7"/>
    <x v="1"/>
    <x v="2"/>
    <m/>
    <x v="1"/>
    <m/>
    <m/>
    <x v="0"/>
    <s v="FABRICADO"/>
    <x v="0"/>
    <m/>
    <s v=""/>
    <m/>
  </r>
  <r>
    <x v="11"/>
    <m/>
    <x v="1"/>
    <x v="0"/>
    <x v="8"/>
    <x v="0"/>
    <x v="2"/>
    <m/>
    <x v="0"/>
    <m/>
    <m/>
    <x v="0"/>
    <s v="FABRICADO"/>
    <x v="0"/>
    <m/>
    <s v=""/>
    <m/>
  </r>
  <r>
    <x v="12"/>
    <s v="890"/>
    <x v="1"/>
    <x v="0"/>
    <x v="9"/>
    <x v="0"/>
    <x v="2"/>
    <s v="4.12.1 AREA EXTERNA (BRIDGE DECK)"/>
    <x v="0"/>
    <m/>
    <m/>
    <x v="0"/>
    <s v="FABRICADO"/>
    <x v="0"/>
    <m/>
    <s v=""/>
    <m/>
  </r>
  <r>
    <x v="13"/>
    <s v="C74"/>
    <x v="1"/>
    <x v="0"/>
    <x v="10"/>
    <x v="0"/>
    <x v="2"/>
    <s v="1.2.1 PRAÇA DE MÁQUINAS"/>
    <x v="0"/>
    <m/>
    <m/>
    <x v="0"/>
    <s v="FABRICADO"/>
    <x v="0"/>
    <m/>
    <s v=""/>
    <m/>
  </r>
  <r>
    <x v="14"/>
    <s v="D80"/>
    <x v="1"/>
    <x v="0"/>
    <x v="11"/>
    <x v="0"/>
    <x v="2"/>
    <s v="2.12.1 AREA EXTERNA (053)"/>
    <x v="0"/>
    <m/>
    <m/>
    <x v="0"/>
    <s v="FABRICADO"/>
    <x v="0"/>
    <m/>
    <s v=""/>
    <m/>
  </r>
  <r>
    <x v="14"/>
    <s v="J36"/>
    <x v="1"/>
    <x v="0"/>
    <x v="12"/>
    <x v="0"/>
    <x v="2"/>
    <s v="2.12.1 AREA EXTERNA (053)"/>
    <x v="0"/>
    <m/>
    <m/>
    <x v="0"/>
    <s v="FABRICADO"/>
    <x v="0"/>
    <m/>
    <s v=""/>
    <m/>
  </r>
  <r>
    <x v="15"/>
    <s v="D84"/>
    <x v="1"/>
    <x v="0"/>
    <x v="13"/>
    <x v="0"/>
    <x v="2"/>
    <s v="4.13.1 AREA INTERNA COMANDO"/>
    <x v="0"/>
    <m/>
    <m/>
    <x v="0"/>
    <s v="FABRICADO"/>
    <x v="0"/>
    <m/>
    <s v=""/>
    <m/>
  </r>
  <r>
    <x v="16"/>
    <s v="J32"/>
    <x v="1"/>
    <x v="0"/>
    <x v="14"/>
    <x v="0"/>
    <x v="2"/>
    <s v="1.2.1 PRAÇA DE MÁQUINAS"/>
    <x v="0"/>
    <m/>
    <m/>
    <x v="0"/>
    <s v="FABRICADO"/>
    <x v="0"/>
    <m/>
    <s v=""/>
    <m/>
  </r>
  <r>
    <x v="17"/>
    <s v="J33"/>
    <x v="1"/>
    <x v="0"/>
    <x v="15"/>
    <x v="0"/>
    <x v="2"/>
    <s v="10.12.1 AREA EXTERNA (WHEELHAUSE TOP)"/>
    <x v="0"/>
    <m/>
    <m/>
    <x v="0"/>
    <s v="FABRICADO"/>
    <x v="0"/>
    <m/>
    <s v=""/>
    <m/>
  </r>
  <r>
    <x v="18"/>
    <s v="J34"/>
    <x v="1"/>
    <x v="0"/>
    <x v="16"/>
    <x v="0"/>
    <x v="2"/>
    <s v="10.12.1 AREA EXTERNA (WHEELHAUSE TOP)"/>
    <x v="0"/>
    <m/>
    <m/>
    <x v="0"/>
    <s v="FABRICADO"/>
    <x v="0"/>
    <m/>
    <s v=""/>
    <m/>
  </r>
  <r>
    <x v="19"/>
    <s v="K29"/>
    <x v="1"/>
    <x v="0"/>
    <x v="17"/>
    <x v="0"/>
    <x v="2"/>
    <s v="5.12.1 AREA EXTERNA (MAIN DECK)"/>
    <x v="0"/>
    <m/>
    <m/>
    <x v="0"/>
    <s v="FABRICADO"/>
    <x v="0"/>
    <m/>
    <s v=""/>
    <m/>
  </r>
  <r>
    <x v="20"/>
    <s v="190"/>
    <x v="1"/>
    <x v="0"/>
    <x v="18"/>
    <x v="2"/>
    <x v="2"/>
    <s v="10.12.1 AREA EXTERNA (WHEELHAUSE TOP)"/>
    <x v="0"/>
    <m/>
    <m/>
    <x v="0"/>
    <s v="FABRICADO"/>
    <x v="0"/>
    <m/>
    <s v=""/>
    <m/>
  </r>
  <r>
    <x v="21"/>
    <s v="189"/>
    <x v="1"/>
    <x v="0"/>
    <x v="19"/>
    <x v="2"/>
    <x v="2"/>
    <s v="10.12.1 AREA EXTERNA (WHEELHAUSE TOP)"/>
    <x v="0"/>
    <s v="FEITO"/>
    <m/>
    <x v="0"/>
    <s v="FABRICADO"/>
    <x v="0"/>
    <s v="FEITO"/>
    <s v=""/>
    <m/>
  </r>
  <r>
    <x v="22"/>
    <s v="188"/>
    <x v="1"/>
    <x v="0"/>
    <x v="20"/>
    <x v="3"/>
    <x v="2"/>
    <s v="10.12.1 AREA EXTERNA (WHEELHAUSE TOP)"/>
    <x v="0"/>
    <s v="FEITO"/>
    <m/>
    <x v="0"/>
    <s v="FABRICADO"/>
    <x v="0"/>
    <s v="FEITO"/>
    <s v=""/>
    <m/>
  </r>
  <r>
    <x v="23"/>
    <s v="191"/>
    <x v="1"/>
    <x v="0"/>
    <x v="21"/>
    <x v="3"/>
    <x v="2"/>
    <s v="10.12.1 AREA EXTERNA (WHEELHAUSE TOP)"/>
    <x v="0"/>
    <s v="FEITO"/>
    <m/>
    <x v="0"/>
    <s v="FABRICADO"/>
    <x v="0"/>
    <s v="FEITO"/>
    <s v=""/>
    <m/>
  </r>
  <r>
    <x v="24"/>
    <s v="819"/>
    <x v="1"/>
    <x v="0"/>
    <x v="22"/>
    <x v="3"/>
    <x v="2"/>
    <s v="4.12.1 AREA EXTERNA (BRIDGE DECK)"/>
    <x v="0"/>
    <s v="FEITO"/>
    <m/>
    <x v="0"/>
    <s v="FABRICADO"/>
    <x v="0"/>
    <m/>
    <s v=""/>
    <m/>
  </r>
  <r>
    <x v="25"/>
    <s v="820"/>
    <x v="1"/>
    <x v="0"/>
    <x v="23"/>
    <x v="3"/>
    <x v="2"/>
    <s v="4.12.1 AREA EXTERNA (BRIDGE DECK)"/>
    <x v="0"/>
    <s v="FEITO"/>
    <m/>
    <x v="0"/>
    <s v="FABRICADO"/>
    <x v="0"/>
    <m/>
    <s v=""/>
    <m/>
  </r>
  <r>
    <x v="26"/>
    <s v="821"/>
    <x v="1"/>
    <x v="0"/>
    <x v="24"/>
    <x v="3"/>
    <x v="2"/>
    <s v="4.12.1 AREA EXTERNA (BRIDGE DECK)"/>
    <x v="0"/>
    <s v="FEITO"/>
    <m/>
    <x v="0"/>
    <s v="FABRICADO"/>
    <x v="0"/>
    <m/>
    <s v=""/>
    <m/>
  </r>
  <r>
    <x v="27"/>
    <s v="822"/>
    <x v="1"/>
    <x v="0"/>
    <x v="25"/>
    <x v="3"/>
    <x v="2"/>
    <s v="4.12.1 AREA EXTERNA (BRIDGE DECK)"/>
    <x v="0"/>
    <s v="FEITO"/>
    <m/>
    <x v="0"/>
    <s v="FABRICADO"/>
    <x v="0"/>
    <m/>
    <s v=""/>
    <m/>
  </r>
  <r>
    <x v="28"/>
    <m/>
    <x v="1"/>
    <x v="0"/>
    <x v="26"/>
    <x v="1"/>
    <x v="2"/>
    <m/>
    <x v="1"/>
    <m/>
    <m/>
    <x v="0"/>
    <s v="FABRICADO"/>
    <x v="0"/>
    <m/>
    <s v=""/>
    <m/>
  </r>
  <r>
    <x v="29"/>
    <s v="880"/>
    <x v="1"/>
    <x v="0"/>
    <x v="27"/>
    <x v="4"/>
    <x v="2"/>
    <s v="1.1.1 COMPARTIMENTO DO PROPULSOR"/>
    <x v="0"/>
    <s v="FEITO"/>
    <s v="FEITO"/>
    <x v="0"/>
    <s v="FABRICADO"/>
    <x v="1"/>
    <s v="FEITO"/>
    <s v="FEITO"/>
    <m/>
  </r>
  <r>
    <x v="30"/>
    <s v="882"/>
    <x v="1"/>
    <x v="0"/>
    <x v="28"/>
    <x v="4"/>
    <x v="2"/>
    <s v="1.1.1 COMPARTIMENTO DO PROPULSOR"/>
    <x v="0"/>
    <s v="FEITO"/>
    <s v="FEITO"/>
    <x v="0"/>
    <s v="FABRICADO"/>
    <x v="1"/>
    <s v="FEITO"/>
    <s v="FEITO"/>
    <m/>
  </r>
  <r>
    <x v="31"/>
    <s v="883"/>
    <x v="1"/>
    <x v="0"/>
    <x v="29"/>
    <x v="4"/>
    <x v="2"/>
    <s v="1.1.1 COMPARTIMENTO DO PROPULSOR"/>
    <x v="0"/>
    <s v="FEITO"/>
    <s v="FEITO"/>
    <x v="0"/>
    <s v="FABRICADO"/>
    <x v="1"/>
    <s v="FEITO"/>
    <s v="FEITO"/>
    <m/>
  </r>
  <r>
    <x v="32"/>
    <s v="C88"/>
    <x v="1"/>
    <x v="0"/>
    <x v="30"/>
    <x v="1"/>
    <x v="2"/>
    <s v="1.2.1 PRAÇA DE MÁQUINAS"/>
    <x v="0"/>
    <m/>
    <m/>
    <x v="0"/>
    <s v="FABRICADO"/>
    <x v="0"/>
    <m/>
    <s v=""/>
    <m/>
  </r>
  <r>
    <x v="33"/>
    <s v="C89"/>
    <x v="1"/>
    <x v="0"/>
    <x v="31"/>
    <x v="5"/>
    <x v="2"/>
    <s v="1.2.1 PRAÇA DE MÁQUINAS"/>
    <x v="0"/>
    <s v="FEITO"/>
    <m/>
    <x v="0"/>
    <s v="FABRICADO"/>
    <x v="0"/>
    <m/>
    <s v=""/>
    <m/>
  </r>
  <r>
    <x v="34"/>
    <s v="C91"/>
    <x v="1"/>
    <x v="0"/>
    <x v="32"/>
    <x v="4"/>
    <x v="2"/>
    <s v="1.2.1 PRAÇA DE MÁQUINAS"/>
    <x v="0"/>
    <m/>
    <m/>
    <x v="0"/>
    <s v="FABRICADO"/>
    <x v="0"/>
    <m/>
    <s v=""/>
    <m/>
  </r>
  <r>
    <x v="35"/>
    <s v="C94"/>
    <x v="1"/>
    <x v="0"/>
    <x v="33"/>
    <x v="4"/>
    <x v="2"/>
    <s v="1.2.1 PRAÇA DE MÁQUINAS"/>
    <x v="0"/>
    <m/>
    <m/>
    <x v="0"/>
    <s v="FABRICADO"/>
    <x v="0"/>
    <m/>
    <s v=""/>
    <m/>
  </r>
  <r>
    <x v="36"/>
    <s v="T68"/>
    <x v="1"/>
    <x v="0"/>
    <x v="34"/>
    <x v="6"/>
    <x v="2"/>
    <s v="1.2.1 PRAÇA DE MÁQUINAS"/>
    <x v="0"/>
    <s v="FEITO"/>
    <s v="FEITO"/>
    <x v="0"/>
    <s v="FABRICADO"/>
    <x v="0"/>
    <s v="FEITO"/>
    <s v=""/>
    <m/>
  </r>
  <r>
    <x v="37"/>
    <s v="U15"/>
    <x v="1"/>
    <x v="0"/>
    <x v="35"/>
    <x v="6"/>
    <x v="2"/>
    <s v="2.11.1 LAVANDERIA (WD)"/>
    <x v="0"/>
    <s v="FEITO"/>
    <m/>
    <x v="0"/>
    <s v="FABRICADO"/>
    <x v="0"/>
    <s v="FEITO"/>
    <s v=""/>
    <m/>
  </r>
  <r>
    <x v="38"/>
    <s v="U16"/>
    <x v="1"/>
    <x v="0"/>
    <x v="36"/>
    <x v="6"/>
    <x v="2"/>
    <s v="2.12.1 AREA EXTERNA (053)"/>
    <x v="0"/>
    <s v="FEITO"/>
    <m/>
    <x v="0"/>
    <s v="FABRICADO"/>
    <x v="0"/>
    <s v="FEITO"/>
    <s v=""/>
    <m/>
  </r>
  <r>
    <x v="39"/>
    <s v="U17"/>
    <x v="1"/>
    <x v="0"/>
    <x v="37"/>
    <x v="6"/>
    <x v="2"/>
    <s v="2.11.1 LAVANDERIA (WD)"/>
    <x v="0"/>
    <s v="FEITO"/>
    <m/>
    <x v="0"/>
    <s v="FABRICADO"/>
    <x v="0"/>
    <s v="FEITO"/>
    <s v=""/>
    <m/>
  </r>
  <r>
    <x v="40"/>
    <s v="169"/>
    <x v="1"/>
    <x v="0"/>
    <x v="38"/>
    <x v="7"/>
    <x v="2"/>
    <s v="4.12.1 AREA EXTERNA (BRIDGE DECK)"/>
    <x v="0"/>
    <s v="FEITO"/>
    <s v="FEITO"/>
    <x v="0"/>
    <s v="FABRICADO"/>
    <x v="0"/>
    <s v="FEITO"/>
    <s v=""/>
    <m/>
  </r>
  <r>
    <x v="41"/>
    <s v="170"/>
    <x v="1"/>
    <x v="1"/>
    <x v="39"/>
    <x v="7"/>
    <x v="2"/>
    <s v="1.2.1 PRAÇA DE MÁQUINAS"/>
    <x v="0"/>
    <s v="FEITO"/>
    <m/>
    <x v="0"/>
    <s v="FABRICADO"/>
    <x v="0"/>
    <s v="FEITO"/>
    <s v=""/>
    <m/>
  </r>
  <r>
    <x v="42"/>
    <s v="217"/>
    <x v="1"/>
    <x v="0"/>
    <x v="40"/>
    <x v="0"/>
    <x v="2"/>
    <m/>
    <x v="0"/>
    <m/>
    <m/>
    <x v="0"/>
    <s v="COMPRADO"/>
    <x v="0"/>
    <m/>
    <s v=""/>
    <m/>
  </r>
  <r>
    <x v="43"/>
    <s v="218"/>
    <x v="1"/>
    <x v="0"/>
    <x v="40"/>
    <x v="0"/>
    <x v="2"/>
    <m/>
    <x v="0"/>
    <m/>
    <m/>
    <x v="0"/>
    <s v="COMPRADO"/>
    <x v="0"/>
    <m/>
    <s v=""/>
    <m/>
  </r>
  <r>
    <x v="43"/>
    <s v="D01"/>
    <x v="1"/>
    <x v="0"/>
    <x v="41"/>
    <x v="8"/>
    <x v="2"/>
    <s v="10.12.1 AREA EXTERNA (WHEELHAUSE TOP)"/>
    <x v="0"/>
    <m/>
    <m/>
    <x v="0"/>
    <s v="FABRICADO"/>
    <x v="0"/>
    <s v="FEITO"/>
    <s v=""/>
    <m/>
  </r>
  <r>
    <x v="44"/>
    <s v="219"/>
    <x v="1"/>
    <x v="0"/>
    <x v="40"/>
    <x v="0"/>
    <x v="2"/>
    <m/>
    <x v="0"/>
    <m/>
    <m/>
    <x v="0"/>
    <s v="COMPRADO"/>
    <x v="0"/>
    <m/>
    <s v=""/>
    <m/>
  </r>
  <r>
    <x v="45"/>
    <s v="220"/>
    <x v="1"/>
    <x v="0"/>
    <x v="40"/>
    <x v="0"/>
    <x v="2"/>
    <m/>
    <x v="0"/>
    <m/>
    <m/>
    <x v="0"/>
    <s v="COMPRADO"/>
    <x v="0"/>
    <m/>
    <s v=""/>
    <m/>
  </r>
  <r>
    <x v="46"/>
    <s v="865"/>
    <x v="1"/>
    <x v="0"/>
    <x v="42"/>
    <x v="9"/>
    <x v="2"/>
    <s v="1.2.1 PRAÇA DE MÁQUINAS"/>
    <x v="0"/>
    <m/>
    <m/>
    <x v="0"/>
    <s v="FABRICADO"/>
    <x v="0"/>
    <m/>
    <s v=""/>
    <m/>
  </r>
  <r>
    <x v="47"/>
    <s v="867"/>
    <x v="1"/>
    <x v="0"/>
    <x v="43"/>
    <x v="9"/>
    <x v="2"/>
    <s v="2.6.1 CAMAROTE COMANDANTE"/>
    <x v="0"/>
    <m/>
    <m/>
    <x v="0"/>
    <s v="FABRICADO"/>
    <x v="0"/>
    <m/>
    <s v=""/>
    <m/>
  </r>
  <r>
    <x v="48"/>
    <s v="868"/>
    <x v="1"/>
    <x v="0"/>
    <x v="44"/>
    <x v="9"/>
    <x v="2"/>
    <s v="5.12.1 AREA EXTERNA (MAIN DECK)"/>
    <x v="0"/>
    <m/>
    <m/>
    <x v="0"/>
    <s v="FABRICADO"/>
    <x v="0"/>
    <m/>
    <s v=""/>
    <m/>
  </r>
  <r>
    <x v="49"/>
    <s v="881"/>
    <x v="1"/>
    <x v="0"/>
    <x v="45"/>
    <x v="10"/>
    <x v="2"/>
    <s v="1.2.1 PRAÇA DE MÁQUINAS"/>
    <x v="0"/>
    <m/>
    <m/>
    <x v="0"/>
    <s v="FABRICADO"/>
    <x v="0"/>
    <s v="FEITO"/>
    <s v=""/>
    <m/>
  </r>
  <r>
    <x v="50"/>
    <s v="884"/>
    <x v="1"/>
    <x v="0"/>
    <x v="46"/>
    <x v="1"/>
    <x v="2"/>
    <s v="1.2.1 PRAÇA DE MÁQUINAS"/>
    <x v="0"/>
    <m/>
    <m/>
    <x v="0"/>
    <s v="FABRICADO"/>
    <x v="0"/>
    <m/>
    <s v=""/>
    <m/>
  </r>
  <r>
    <x v="51"/>
    <s v="885"/>
    <x v="1"/>
    <x v="0"/>
    <x v="47"/>
    <x v="11"/>
    <x v="2"/>
    <s v="4.12.1 AREA EXTERNA (BRIDGE DECK)"/>
    <x v="0"/>
    <m/>
    <m/>
    <x v="0"/>
    <s v="FABRICADO"/>
    <x v="0"/>
    <m/>
    <s v=""/>
    <m/>
  </r>
  <r>
    <x v="52"/>
    <s v="888"/>
    <x v="1"/>
    <x v="0"/>
    <x v="48"/>
    <x v="5"/>
    <x v="2"/>
    <s v="4.12.1 AREA EXTERNA (BRIDGE DECK)"/>
    <x v="0"/>
    <m/>
    <m/>
    <x v="0"/>
    <s v="FABRICADO"/>
    <x v="0"/>
    <m/>
    <s v=""/>
    <m/>
  </r>
  <r>
    <x v="53"/>
    <s v="B99"/>
    <x v="1"/>
    <x v="0"/>
    <x v="49"/>
    <x v="1"/>
    <x v="2"/>
    <s v="1.2.1 PRAÇA DE MÁQUINAS"/>
    <x v="0"/>
    <m/>
    <m/>
    <x v="0"/>
    <s v="FABRICADO"/>
    <x v="0"/>
    <m/>
    <s v=""/>
    <m/>
  </r>
  <r>
    <x v="54"/>
    <s v="C64"/>
    <x v="1"/>
    <x v="0"/>
    <x v="50"/>
    <x v="1"/>
    <x v="2"/>
    <s v="1.2.2 PRAÇA DE MÁQUINAS AUXILIAR"/>
    <x v="0"/>
    <s v="FEITO"/>
    <s v="FEITO"/>
    <x v="0"/>
    <s v="FABRICADO"/>
    <x v="0"/>
    <m/>
    <s v=""/>
    <m/>
  </r>
  <r>
    <x v="55"/>
    <s v="C65"/>
    <x v="1"/>
    <x v="0"/>
    <x v="51"/>
    <x v="1"/>
    <x v="2"/>
    <s v="1.1.1 COMPARTIMENTO DO PROPULSOR"/>
    <x v="0"/>
    <s v="FEITO"/>
    <s v="FEITO"/>
    <x v="0"/>
    <s v="FABRICADO"/>
    <x v="1"/>
    <s v="FEITO"/>
    <s v="FEITO"/>
    <m/>
  </r>
  <r>
    <x v="56"/>
    <s v="C69"/>
    <x v="1"/>
    <x v="0"/>
    <x v="52"/>
    <x v="7"/>
    <x v="2"/>
    <s v="4.12.1 AREA EXTERNA (BRIDGE DECK)"/>
    <x v="0"/>
    <s v="FEITO"/>
    <m/>
    <x v="0"/>
    <s v="FABRICADO"/>
    <x v="0"/>
    <s v="FEITO"/>
    <s v=""/>
    <m/>
  </r>
  <r>
    <x v="57"/>
    <s v="C71"/>
    <x v="1"/>
    <x v="0"/>
    <x v="53"/>
    <x v="8"/>
    <x v="2"/>
    <s v="4.13.2 AREA INTERNA (WHEELHAUSE PLENUM)"/>
    <x v="0"/>
    <s v="FEITO"/>
    <s v="FEITO"/>
    <x v="0"/>
    <s v="FABRICADO"/>
    <x v="0"/>
    <s v="FEITO"/>
    <s v=""/>
    <m/>
  </r>
  <r>
    <x v="58"/>
    <s v="C73"/>
    <x v="1"/>
    <x v="0"/>
    <x v="54"/>
    <x v="8"/>
    <x v="2"/>
    <s v="10.12.1 AREA EXTERNA (WHEELHAUSE TOP)"/>
    <x v="0"/>
    <s v="FEITO"/>
    <s v="FEITO"/>
    <x v="0"/>
    <s v="FABRICADO"/>
    <x v="0"/>
    <m/>
    <s v=""/>
    <s v="Alterar Projeto 3d , adicionar chapa para antena ssb  (I25)"/>
  </r>
  <r>
    <x v="59"/>
    <s v="C78"/>
    <x v="1"/>
    <x v="0"/>
    <x v="55"/>
    <x v="1"/>
    <x v="2"/>
    <s v="1.1.1 COMPARTIMENTO DO PROPULSOR"/>
    <x v="0"/>
    <s v="FEITO"/>
    <s v="FEITO"/>
    <x v="0"/>
    <s v="FABRICADO"/>
    <x v="1"/>
    <s v="FEITO"/>
    <s v="FEITO"/>
    <m/>
  </r>
  <r>
    <x v="60"/>
    <s v="C80"/>
    <x v="1"/>
    <x v="0"/>
    <x v="56"/>
    <x v="12"/>
    <x v="2"/>
    <s v="4.13.2 AREA INTERNA (WHEELHAUSE PLENUM)"/>
    <x v="0"/>
    <s v="FEITO"/>
    <s v="FEITO"/>
    <x v="0"/>
    <s v="FABRICADO"/>
    <x v="0"/>
    <s v="FEITO"/>
    <s v=""/>
    <m/>
  </r>
  <r>
    <x v="61"/>
    <s v="U22"/>
    <x v="1"/>
    <x v="0"/>
    <x v="57"/>
    <x v="1"/>
    <x v="2"/>
    <s v="1.2.1 PRAÇA DE MÁQUINAS"/>
    <x v="0"/>
    <m/>
    <m/>
    <x v="0"/>
    <s v="FABRICADO"/>
    <x v="0"/>
    <m/>
    <s v=""/>
    <m/>
  </r>
  <r>
    <x v="62"/>
    <s v="T52"/>
    <x v="1"/>
    <x v="0"/>
    <x v="58"/>
    <x v="13"/>
    <x v="2"/>
    <s v="1.2.2 PRAÇA DE MÁQUINAS AUXILIAR"/>
    <x v="0"/>
    <s v="FEITO"/>
    <s v="FEITO"/>
    <x v="0"/>
    <s v="FABRICADO"/>
    <x v="0"/>
    <m/>
    <s v=""/>
    <m/>
  </r>
  <r>
    <x v="63"/>
    <s v="T40"/>
    <x v="1"/>
    <x v="0"/>
    <x v="59"/>
    <x v="10"/>
    <x v="2"/>
    <s v="4.13.1 AREA INTERNA COMANDO"/>
    <x v="0"/>
    <s v="FEITO"/>
    <m/>
    <x v="0"/>
    <s v="FABRICADO"/>
    <x v="0"/>
    <m/>
    <s v=""/>
    <m/>
  </r>
  <r>
    <x v="64"/>
    <s v="T39"/>
    <x v="1"/>
    <x v="0"/>
    <x v="60"/>
    <x v="0"/>
    <x v="2"/>
    <m/>
    <x v="0"/>
    <m/>
    <m/>
    <x v="0"/>
    <s v="FABRICADO"/>
    <x v="0"/>
    <m/>
    <s v=""/>
    <m/>
  </r>
  <r>
    <x v="65"/>
    <s v="T38"/>
    <x v="1"/>
    <x v="0"/>
    <x v="61"/>
    <x v="7"/>
    <x v="2"/>
    <s v="4.12.1 AREA EXTERNA (BRIDGE DECK)"/>
    <x v="0"/>
    <s v="FEITO"/>
    <s v="FEITO"/>
    <x v="0"/>
    <s v="FABRICADO"/>
    <x v="0"/>
    <s v="FEITO"/>
    <s v=""/>
    <m/>
  </r>
  <r>
    <x v="66"/>
    <s v="T37"/>
    <x v="1"/>
    <x v="0"/>
    <x v="62"/>
    <x v="7"/>
    <x v="2"/>
    <s v="10.12.1 AREA EXTERNA (WHEELHAUSE TOP)"/>
    <x v="0"/>
    <s v="FEITO"/>
    <s v="FEITO"/>
    <x v="0"/>
    <s v="FABRICADO"/>
    <x v="0"/>
    <s v="FEITO"/>
    <s v=""/>
    <m/>
  </r>
  <r>
    <x v="67"/>
    <s v="M02"/>
    <x v="1"/>
    <x v="0"/>
    <x v="63"/>
    <x v="7"/>
    <x v="2"/>
    <s v="4.13.2 AREA INTERNA (WHEELHAUSE PLENUM)"/>
    <x v="0"/>
    <s v="FEITO"/>
    <m/>
    <x v="0"/>
    <s v="FABRICADO"/>
    <x v="0"/>
    <s v="FEITO"/>
    <s v=""/>
    <m/>
  </r>
  <r>
    <x v="68"/>
    <s v="J82"/>
    <x v="1"/>
    <x v="0"/>
    <x v="64"/>
    <x v="1"/>
    <x v="2"/>
    <s v="1.2.1 PRAÇA DE MÁQUINAS"/>
    <x v="0"/>
    <m/>
    <m/>
    <x v="0"/>
    <s v="FABRICADO"/>
    <x v="0"/>
    <m/>
    <s v=""/>
    <m/>
  </r>
  <r>
    <x v="69"/>
    <s v="G66"/>
    <x v="1"/>
    <x v="0"/>
    <x v="65"/>
    <x v="14"/>
    <x v="2"/>
    <s v="1.1.1 COMPARTIMENTO DO PROPULSOR"/>
    <x v="0"/>
    <s v="FEITO"/>
    <s v="FEITO"/>
    <x v="0"/>
    <s v="FABRICADO"/>
    <x v="1"/>
    <s v="FEITO"/>
    <s v="FEITO"/>
    <m/>
  </r>
  <r>
    <x v="70"/>
    <s v="G64"/>
    <x v="1"/>
    <x v="0"/>
    <x v="66"/>
    <x v="1"/>
    <x v="2"/>
    <s v="1.2.2 PRAÇA DE MÁQUINAS AUXILIAR"/>
    <x v="0"/>
    <s v="FEITO"/>
    <s v="FEITO"/>
    <x v="0"/>
    <s v="FABRICADO"/>
    <x v="0"/>
    <m/>
    <s v=""/>
    <m/>
  </r>
  <r>
    <x v="71"/>
    <s v="G14"/>
    <x v="1"/>
    <x v="0"/>
    <x v="67"/>
    <x v="1"/>
    <x v="2"/>
    <s v="1.2.1 PRAÇA DE MÁQUINAS"/>
    <x v="0"/>
    <m/>
    <m/>
    <x v="0"/>
    <s v="FABRICADO"/>
    <x v="0"/>
    <m/>
    <s v=""/>
    <m/>
  </r>
  <r>
    <x v="72"/>
    <s v="G52"/>
    <x v="1"/>
    <x v="0"/>
    <x v="68"/>
    <x v="0"/>
    <x v="2"/>
    <s v="1.1.1 COMPARTIMENTO DO PROPULSOR"/>
    <x v="0"/>
    <s v="FEITO"/>
    <s v="FEITO"/>
    <x v="0"/>
    <s v="FABRICADO"/>
    <x v="1"/>
    <m/>
    <s v="FEITO"/>
    <m/>
  </r>
  <r>
    <x v="73"/>
    <s v="J22"/>
    <x v="1"/>
    <x v="0"/>
    <x v="69"/>
    <x v="0"/>
    <x v="2"/>
    <s v="1.6.1 CAMAROTE CHEFE DE MÁQUINAS"/>
    <x v="0"/>
    <s v="FEITO"/>
    <s v="FEITO"/>
    <x v="0"/>
    <s v="FABRICADO"/>
    <x v="1"/>
    <m/>
    <s v="FEITO"/>
    <m/>
  </r>
  <r>
    <x v="74"/>
    <s v="J31"/>
    <x v="1"/>
    <x v="0"/>
    <x v="70"/>
    <x v="0"/>
    <x v="2"/>
    <s v="2.9.1 REFEITÓRIO"/>
    <x v="0"/>
    <s v="FEITO"/>
    <s v="FEITO"/>
    <x v="0"/>
    <s v="FABRICADO"/>
    <x v="1"/>
    <m/>
    <s v="FEITO"/>
    <m/>
  </r>
  <r>
    <x v="75"/>
    <s v="L41"/>
    <x v="1"/>
    <x v="0"/>
    <x v="71"/>
    <x v="0"/>
    <x v="2"/>
    <s v="2.10.2 CORREDOR SAÍDA CONVÉS PRINCIPAL BLOCO 21"/>
    <x v="0"/>
    <s v="FEITO"/>
    <s v="FEITO"/>
    <x v="0"/>
    <s v="FABRICADO"/>
    <x v="1"/>
    <m/>
    <s v="FEITO"/>
    <m/>
  </r>
  <r>
    <x v="76"/>
    <s v="M46"/>
    <x v="1"/>
    <x v="0"/>
    <x v="72"/>
    <x v="0"/>
    <x v="2"/>
    <s v="4.13.2 AREA INTERNA (WHEELHAUSE PLENUM)"/>
    <x v="0"/>
    <m/>
    <m/>
    <x v="0"/>
    <s v="FABRICADO"/>
    <x v="0"/>
    <m/>
    <s v=""/>
    <m/>
  </r>
  <r>
    <x v="77"/>
    <s v="G53"/>
    <x v="1"/>
    <x v="0"/>
    <x v="73"/>
    <x v="0"/>
    <x v="2"/>
    <s v="1.2.1 PRAÇA DE MÁQUINAS"/>
    <x v="0"/>
    <s v="FEITO"/>
    <s v="FEITO"/>
    <x v="0"/>
    <s v="FABRICADO"/>
    <x v="1"/>
    <m/>
    <s v="FEITO"/>
    <m/>
  </r>
  <r>
    <x v="78"/>
    <s v="G54"/>
    <x v="1"/>
    <x v="0"/>
    <x v="74"/>
    <x v="0"/>
    <x v="2"/>
    <s v="1.1.1 COMPARTIMENTO DO PROPULSOR"/>
    <x v="0"/>
    <s v="FEITO"/>
    <s v="FEITO"/>
    <x v="0"/>
    <s v="FABRICADO"/>
    <x v="1"/>
    <m/>
    <s v="FEITO"/>
    <m/>
  </r>
  <r>
    <x v="79"/>
    <s v="J12 "/>
    <x v="1"/>
    <x v="0"/>
    <x v="75"/>
    <x v="0"/>
    <x v="2"/>
    <s v="2.6.1 CAMAROTE COMANDANTE"/>
    <x v="0"/>
    <m/>
    <m/>
    <x v="0"/>
    <s v="FABRICADO"/>
    <x v="0"/>
    <m/>
    <s v=""/>
    <m/>
  </r>
  <r>
    <x v="80"/>
    <s v="J13"/>
    <x v="1"/>
    <x v="0"/>
    <x v="76"/>
    <x v="0"/>
    <x v="2"/>
    <s v="2.9.1 REFEITÓRIO"/>
    <x v="0"/>
    <s v="FEITO"/>
    <s v="FEITO"/>
    <x v="0"/>
    <s v="FABRICADO"/>
    <x v="1"/>
    <m/>
    <s v="FEITO"/>
    <m/>
  </r>
  <r>
    <x v="81"/>
    <s v="E12"/>
    <x v="1"/>
    <x v="0"/>
    <x v="77"/>
    <x v="0"/>
    <x v="2"/>
    <m/>
    <x v="0"/>
    <s v="FEITO"/>
    <s v="FEITO"/>
    <x v="0"/>
    <s v="FABRICADO"/>
    <x v="1"/>
    <m/>
    <s v="FEITO"/>
    <m/>
  </r>
  <r>
    <x v="82"/>
    <s v="J20"/>
    <x v="1"/>
    <x v="0"/>
    <x v="78"/>
    <x v="0"/>
    <x v="2"/>
    <s v="2.10.1 CORREDOR ACOMODAÇÕES CP BLOCO21"/>
    <x v="0"/>
    <m/>
    <m/>
    <x v="0"/>
    <s v="FABRICADO"/>
    <x v="0"/>
    <m/>
    <s v=""/>
    <m/>
  </r>
  <r>
    <x v="83"/>
    <s v="O03"/>
    <x v="1"/>
    <x v="0"/>
    <x v="79"/>
    <x v="8"/>
    <x v="2"/>
    <s v="4.13.2 AREA INTERNA (WHEELHAUSE PLENUM)"/>
    <x v="0"/>
    <s v="FEITO"/>
    <m/>
    <x v="0"/>
    <s v="FABRICADO"/>
    <x v="0"/>
    <s v="FEITO"/>
    <s v=""/>
    <m/>
  </r>
  <r>
    <x v="84"/>
    <s v="G16"/>
    <x v="1"/>
    <x v="0"/>
    <x v="80"/>
    <x v="1"/>
    <x v="2"/>
    <s v="10.12.1 AREA EXTERNA (WHEELHAUSE TOP)"/>
    <x v="0"/>
    <s v="FEITO"/>
    <m/>
    <x v="0"/>
    <s v="FABRICADO"/>
    <x v="0"/>
    <s v="FEITO"/>
    <s v=""/>
    <s v="Antena de Tv - Passar a informação e o 3d para Rafael incluir esse suporte direto no mastro"/>
  </r>
  <r>
    <x v="85"/>
    <s v="O02"/>
    <x v="1"/>
    <x v="0"/>
    <x v="81"/>
    <x v="1"/>
    <x v="2"/>
    <s v="10.12.1 AREA EXTERNA (WHEELHAUSE TOP)"/>
    <x v="0"/>
    <s v="FEITO"/>
    <m/>
    <x v="0"/>
    <s v="FABRICADO"/>
    <x v="0"/>
    <s v="FEITO"/>
    <s v=""/>
    <m/>
  </r>
  <r>
    <x v="86"/>
    <s v="E01"/>
    <x v="1"/>
    <x v="0"/>
    <x v="82"/>
    <x v="5"/>
    <x v="2"/>
    <s v="1.2.1 PRAÇA DE MÁQUINAS"/>
    <x v="0"/>
    <m/>
    <m/>
    <x v="0"/>
    <s v="FABRICADO"/>
    <x v="0"/>
    <m/>
    <s v=""/>
    <m/>
  </r>
  <r>
    <x v="87"/>
    <s v="G59"/>
    <x v="1"/>
    <x v="0"/>
    <x v="83"/>
    <x v="5"/>
    <x v="2"/>
    <s v="1.2.1 PRAÇA DE MÁQUINAS"/>
    <x v="0"/>
    <m/>
    <m/>
    <x v="0"/>
    <s v="FABRICADO"/>
    <x v="0"/>
    <s v="FEITO"/>
    <s v=""/>
    <m/>
  </r>
  <r>
    <x v="88"/>
    <s v="F05"/>
    <x v="1"/>
    <x v="0"/>
    <x v="84"/>
    <x v="5"/>
    <x v="2"/>
    <s v="4.13.1 AREA INTERNA COMANDO"/>
    <x v="0"/>
    <s v="FEITO"/>
    <m/>
    <x v="0"/>
    <s v="FABRICADO"/>
    <x v="0"/>
    <m/>
    <s v=""/>
    <m/>
  </r>
  <r>
    <x v="89"/>
    <s v="H75"/>
    <x v="1"/>
    <x v="0"/>
    <x v="85"/>
    <x v="10"/>
    <x v="2"/>
    <s v="4.13.1 AREA INTERNA COMANDO"/>
    <x v="0"/>
    <s v="FEITO"/>
    <m/>
    <x v="0"/>
    <s v="FABRICADO"/>
    <x v="0"/>
    <m/>
    <s v=""/>
    <m/>
  </r>
  <r>
    <x v="90"/>
    <s v="M31"/>
    <x v="1"/>
    <x v="0"/>
    <x v="86"/>
    <x v="10"/>
    <x v="2"/>
    <s v="4.13.1 AREA INTERNA COMANDO"/>
    <x v="0"/>
    <s v="FEITO"/>
    <m/>
    <x v="0"/>
    <s v="FABRICADO"/>
    <x v="0"/>
    <m/>
    <s v=""/>
    <m/>
  </r>
  <r>
    <x v="91"/>
    <s v="N58"/>
    <x v="1"/>
    <x v="0"/>
    <x v="87"/>
    <x v="15"/>
    <x v="2"/>
    <s v="4.12.1 AREA EXTERNA (BRIDGE DECK)"/>
    <x v="0"/>
    <s v="FEITO"/>
    <m/>
    <x v="0"/>
    <s v="FABRICADO"/>
    <x v="0"/>
    <s v="FEITO"/>
    <s v=""/>
    <m/>
  </r>
  <r>
    <x v="92"/>
    <s v="D21"/>
    <x v="1"/>
    <x v="0"/>
    <x v="88"/>
    <x v="15"/>
    <x v="2"/>
    <s v="2.12.1 AREA EXTERNA (053)"/>
    <x v="0"/>
    <s v="FEITO"/>
    <s v="FEITO"/>
    <x v="0"/>
    <s v="FABRICADO"/>
    <x v="0"/>
    <s v="FEITO"/>
    <s v=""/>
    <m/>
  </r>
  <r>
    <x v="93"/>
    <s v="J35"/>
    <x v="1"/>
    <x v="0"/>
    <x v="89"/>
    <x v="7"/>
    <x v="2"/>
    <s v="1.2.1 PRAÇA DE MÁQUINAS"/>
    <x v="0"/>
    <s v="FEITO"/>
    <m/>
    <x v="0"/>
    <s v="FABRICADO"/>
    <x v="0"/>
    <s v="FEITO"/>
    <s v=""/>
    <m/>
  </r>
  <r>
    <x v="94"/>
    <s v="902"/>
    <x v="1"/>
    <x v="0"/>
    <x v="90"/>
    <x v="1"/>
    <x v="2"/>
    <s v="1.2.1 PRAÇA DE MÁQUINAS"/>
    <x v="0"/>
    <m/>
    <m/>
    <x v="0"/>
    <s v="FABRICADO"/>
    <x v="0"/>
    <s v="FEITO"/>
    <s v=""/>
    <m/>
  </r>
  <r>
    <x v="95"/>
    <s v="901"/>
    <x v="1"/>
    <x v="0"/>
    <x v="91"/>
    <x v="16"/>
    <x v="2"/>
    <s v="1.2.1 PRAÇA DE MÁQUINAS"/>
    <x v="0"/>
    <s v="FEITO"/>
    <s v="FEITO"/>
    <x v="0"/>
    <s v="FABRICADO"/>
    <x v="0"/>
    <m/>
    <s v=""/>
    <m/>
  </r>
  <r>
    <x v="96"/>
    <s v="903"/>
    <x v="1"/>
    <x v="0"/>
    <x v="92"/>
    <x v="1"/>
    <x v="2"/>
    <s v="1.2.1 PRAÇA DE MÁQUINAS"/>
    <x v="0"/>
    <s v="FEITO"/>
    <m/>
    <x v="0"/>
    <s v="FABRICADO"/>
    <x v="0"/>
    <s v="FEITO"/>
    <s v=""/>
    <m/>
  </r>
  <r>
    <x v="97"/>
    <s v="906"/>
    <x v="1"/>
    <x v="0"/>
    <x v="93"/>
    <x v="15"/>
    <x v="2"/>
    <s v="1.1.1 COMPARTIMENTO DO PROPULSOR"/>
    <x v="0"/>
    <s v="FEITO"/>
    <s v="FEITO"/>
    <x v="0"/>
    <s v="FABRICADO"/>
    <x v="1"/>
    <s v="FEITO"/>
    <s v="FEITO"/>
    <m/>
  </r>
  <r>
    <x v="98"/>
    <s v="905"/>
    <x v="1"/>
    <x v="0"/>
    <x v="94"/>
    <x v="15"/>
    <x v="2"/>
    <s v="2.12.1 AREA EXTERNA (053)"/>
    <x v="0"/>
    <s v="FEITO"/>
    <s v="FEITO"/>
    <x v="0"/>
    <s v="FABRICADO"/>
    <x v="0"/>
    <s v="FEITO"/>
    <s v=""/>
    <m/>
  </r>
  <r>
    <x v="99"/>
    <s v="803"/>
    <x v="1"/>
    <x v="0"/>
    <x v="95"/>
    <x v="7"/>
    <x v="2"/>
    <s v="4.12.1 AREA EXTERNA (BRIDGE DECK)"/>
    <x v="0"/>
    <s v="FEITO"/>
    <m/>
    <x v="0"/>
    <s v="FABRICADO"/>
    <x v="0"/>
    <s v="FEITO"/>
    <s v=""/>
    <m/>
  </r>
  <r>
    <x v="100"/>
    <s v="870"/>
    <x v="1"/>
    <x v="0"/>
    <x v="96"/>
    <x v="5"/>
    <x v="2"/>
    <s v="4.12.1 AREA EXTERNA (BRIDGE DECK)"/>
    <x v="0"/>
    <m/>
    <m/>
    <x v="0"/>
    <s v="FABRICADO"/>
    <x v="0"/>
    <m/>
    <s v=""/>
    <m/>
  </r>
  <r>
    <x v="101"/>
    <s v="872"/>
    <x v="1"/>
    <x v="0"/>
    <x v="97"/>
    <x v="7"/>
    <x v="2"/>
    <s v="2.25.2 ARMÁRIO CO2"/>
    <x v="0"/>
    <s v="FEITO"/>
    <s v="FEITO"/>
    <x v="0"/>
    <s v="FABRICADO"/>
    <x v="0"/>
    <s v="FEITO"/>
    <s v=""/>
    <m/>
  </r>
  <r>
    <x v="102"/>
    <s v="875"/>
    <x v="1"/>
    <x v="0"/>
    <x v="98"/>
    <x v="7"/>
    <x v="2"/>
    <s v="10.12.1 AREA EXTERNA (WHEELHAUSE TOP)"/>
    <x v="0"/>
    <s v="FEITO"/>
    <s v="FEITO"/>
    <x v="0"/>
    <s v="FABRICADO"/>
    <x v="0"/>
    <s v="FEITO"/>
    <s v=""/>
    <m/>
  </r>
  <r>
    <x v="103"/>
    <s v="C82"/>
    <x v="1"/>
    <x v="0"/>
    <x v="99"/>
    <x v="7"/>
    <x v="2"/>
    <s v="1.12.1 AREA EXTERNA (OUTBOARD)"/>
    <x v="0"/>
    <s v="FEITO"/>
    <s v="FEITO"/>
    <x v="0"/>
    <s v="FABRICADO"/>
    <x v="0"/>
    <s v="FEITO"/>
    <s v=""/>
    <m/>
  </r>
  <r>
    <x v="104"/>
    <s v="630"/>
    <x v="1"/>
    <x v="0"/>
    <x v="100"/>
    <x v="9"/>
    <x v="2"/>
    <m/>
    <x v="0"/>
    <s v="FEITO"/>
    <m/>
    <x v="0"/>
    <s v="FABRICADO"/>
    <x v="0"/>
    <s v="FEITO"/>
    <s v=""/>
    <m/>
  </r>
  <r>
    <x v="105"/>
    <s v="C83"/>
    <x v="1"/>
    <x v="0"/>
    <x v="101"/>
    <x v="10"/>
    <x v="2"/>
    <s v="4.13.1 AREA INTERNA COMANDO"/>
    <x v="0"/>
    <s v="FEITO"/>
    <m/>
    <x v="0"/>
    <s v="FABRICADO"/>
    <x v="0"/>
    <s v="FEITO"/>
    <s v=""/>
    <m/>
  </r>
  <r>
    <x v="106"/>
    <s v="876"/>
    <x v="1"/>
    <x v="0"/>
    <x v="102"/>
    <x v="7"/>
    <x v="2"/>
    <s v="1.2.1 PRAÇA DE MÁQUINAS"/>
    <x v="0"/>
    <s v="FEITO"/>
    <s v="FEITO"/>
    <x v="0"/>
    <s v="FABRICADO"/>
    <x v="0"/>
    <m/>
    <s v=""/>
    <m/>
  </r>
  <r>
    <x v="107"/>
    <s v="904"/>
    <x v="1"/>
    <x v="0"/>
    <x v="103"/>
    <x v="15"/>
    <x v="2"/>
    <s v="1.1.1 COMPARTIMENTO DO PROPULSOR"/>
    <x v="0"/>
    <s v="FEITO"/>
    <m/>
    <x v="0"/>
    <s v="FABRICADO"/>
    <x v="1"/>
    <m/>
    <s v="FEITO"/>
    <m/>
  </r>
  <r>
    <x v="108"/>
    <s v="866"/>
    <x v="1"/>
    <x v="0"/>
    <x v="104"/>
    <x v="7"/>
    <x v="2"/>
    <s v="1.2.1 PRAÇA DE MÁQUINAS"/>
    <x v="0"/>
    <s v="FEITO"/>
    <s v="FEITO"/>
    <x v="0"/>
    <s v="FABRICADO"/>
    <x v="0"/>
    <s v="FEITO"/>
    <s v=""/>
    <m/>
  </r>
  <r>
    <x v="109"/>
    <s v="869"/>
    <x v="1"/>
    <x v="0"/>
    <x v="105"/>
    <x v="5"/>
    <x v="2"/>
    <s v="1.2.1 PRAÇA DE MÁQUINAS"/>
    <x v="0"/>
    <m/>
    <m/>
    <x v="0"/>
    <s v="FABRICADO"/>
    <x v="0"/>
    <m/>
    <s v=""/>
    <m/>
  </r>
  <r>
    <x v="110"/>
    <s v="900"/>
    <x v="1"/>
    <x v="0"/>
    <x v="106"/>
    <x v="1"/>
    <x v="2"/>
    <s v="1.2.1 PRAÇA DE MÁQUINAS"/>
    <x v="0"/>
    <m/>
    <m/>
    <x v="0"/>
    <s v="FABRICADO"/>
    <x v="0"/>
    <m/>
    <s v=""/>
    <m/>
  </r>
  <r>
    <x v="111"/>
    <s v="C93"/>
    <x v="1"/>
    <x v="0"/>
    <x v="107"/>
    <x v="1"/>
    <x v="2"/>
    <s v="1.2.1 PRAÇA DE MÁQUINAS"/>
    <x v="0"/>
    <s v="FEITO"/>
    <m/>
    <x v="0"/>
    <s v="FABRICADO"/>
    <x v="0"/>
    <s v="FEITO"/>
    <s v=""/>
    <m/>
  </r>
  <r>
    <x v="112"/>
    <s v="999"/>
    <x v="1"/>
    <x v="0"/>
    <x v="108"/>
    <x v="1"/>
    <x v="2"/>
    <s v="4.13.2 AREA INTERNA (WHEELHAUSE PLENUM)"/>
    <x v="0"/>
    <s v="FEITO"/>
    <s v="FEITO"/>
    <x v="0"/>
    <s v="FABRICADO"/>
    <x v="0"/>
    <s v="FEITO"/>
    <s v=""/>
    <m/>
  </r>
  <r>
    <x v="113"/>
    <s v="C84"/>
    <x v="1"/>
    <x v="0"/>
    <x v="109"/>
    <x v="17"/>
    <x v="2"/>
    <s v="1.2.1 PRAÇA DE MÁQUINAS"/>
    <x v="0"/>
    <s v="FEITO"/>
    <m/>
    <x v="0"/>
    <s v="FABRICADO"/>
    <x v="0"/>
    <m/>
    <s v=""/>
    <m/>
  </r>
  <r>
    <x v="114"/>
    <s v="899"/>
    <x v="1"/>
    <x v="0"/>
    <x v="110"/>
    <x v="1"/>
    <x v="2"/>
    <s v="10.12.1 AREA EXTERNA (WHEELHAUSE TOP)"/>
    <x v="0"/>
    <s v="FEITO"/>
    <m/>
    <x v="0"/>
    <s v="FABRICADO"/>
    <x v="0"/>
    <s v="FEITO"/>
    <s v=""/>
    <m/>
  </r>
  <r>
    <x v="115"/>
    <s v="897"/>
    <x v="1"/>
    <x v="0"/>
    <x v="111"/>
    <x v="8"/>
    <x v="2"/>
    <s v="4.12.1 AREA EXTERNA (BRIDGE DECK)"/>
    <x v="0"/>
    <s v="FEITO"/>
    <m/>
    <x v="0"/>
    <s v="FABRICADO"/>
    <x v="0"/>
    <s v="FEITO"/>
    <s v=""/>
    <m/>
  </r>
  <r>
    <x v="116"/>
    <s v="898"/>
    <x v="1"/>
    <x v="0"/>
    <x v="112"/>
    <x v="10"/>
    <x v="2"/>
    <s v="10.12.1 AREA EXTERNA (WHEELHAUSE TOP)"/>
    <x v="0"/>
    <s v="FEITO"/>
    <m/>
    <x v="0"/>
    <s v="FABRICADO"/>
    <x v="0"/>
    <s v="FEITO"/>
    <s v=""/>
    <s v="Passar a informação e modelo 3d para Rafael incluir esse suporte direto no mastro - 2 Unidade Braço BE do mastro"/>
  </r>
  <r>
    <x v="117"/>
    <s v="C81"/>
    <x v="1"/>
    <x v="0"/>
    <x v="113"/>
    <x v="17"/>
    <x v="2"/>
    <s v="1.1.1 COMPARTIMENTO DO PROPULSOR"/>
    <x v="0"/>
    <s v="FEITO"/>
    <s v="FEITO"/>
    <x v="0"/>
    <s v="FABRICADO"/>
    <x v="1"/>
    <s v="FEITO"/>
    <s v="FEITO"/>
    <m/>
  </r>
  <r>
    <x v="118"/>
    <s v="C95"/>
    <x v="1"/>
    <x v="0"/>
    <x v="114"/>
    <x v="7"/>
    <x v="2"/>
    <s v="1.12.1 AREA EXTERNA (OUTBOARD)"/>
    <x v="0"/>
    <s v="FEITO"/>
    <s v="FEITO"/>
    <x v="0"/>
    <s v="FABRICADO"/>
    <x v="0"/>
    <s v="FEITO"/>
    <s v=""/>
    <m/>
  </r>
  <r>
    <x v="119"/>
    <s v="874"/>
    <x v="1"/>
    <x v="0"/>
    <x v="115"/>
    <x v="7"/>
    <x v="2"/>
    <s v="5.12.1 AREA EXTERNA (MAIN DECK)"/>
    <x v="0"/>
    <m/>
    <m/>
    <x v="0"/>
    <s v="FABRICADO"/>
    <x v="0"/>
    <m/>
    <s v=""/>
    <m/>
  </r>
  <r>
    <x v="120"/>
    <m/>
    <x v="1"/>
    <x v="0"/>
    <x v="116"/>
    <x v="0"/>
    <x v="2"/>
    <s v="1.2.1 PRAÇA DE MÁQUINAS"/>
    <x v="0"/>
    <s v="FEITO"/>
    <m/>
    <x v="0"/>
    <s v="FABRICADO"/>
    <x v="0"/>
    <m/>
    <s v=""/>
    <m/>
  </r>
  <r>
    <x v="121"/>
    <s v="873"/>
    <x v="1"/>
    <x v="0"/>
    <x v="117"/>
    <x v="7"/>
    <x v="2"/>
    <m/>
    <x v="0"/>
    <s v="FEITO"/>
    <m/>
    <x v="0"/>
    <s v="FABRICADO"/>
    <x v="0"/>
    <m/>
    <s v=""/>
    <m/>
  </r>
  <r>
    <x v="122"/>
    <s v="877"/>
    <x v="1"/>
    <x v="0"/>
    <x v="118"/>
    <x v="15"/>
    <x v="2"/>
    <s v="1.2.1 PRAÇA DE MÁQUINAS"/>
    <x v="0"/>
    <m/>
    <m/>
    <x v="0"/>
    <s v="FABRICADO"/>
    <x v="0"/>
    <m/>
    <s v=""/>
    <m/>
  </r>
  <r>
    <x v="123"/>
    <s v="805"/>
    <x v="1"/>
    <x v="0"/>
    <x v="119"/>
    <x v="7"/>
    <x v="2"/>
    <s v="2.11.1 LAVANDERIA (WD)"/>
    <x v="0"/>
    <s v="FEITO"/>
    <m/>
    <x v="0"/>
    <s v="FABRICADO"/>
    <x v="0"/>
    <s v="FEITO"/>
    <s v=""/>
    <m/>
  </r>
  <r>
    <x v="124"/>
    <m/>
    <x v="1"/>
    <x v="0"/>
    <x v="120"/>
    <x v="10"/>
    <x v="2"/>
    <s v="10.12.1 AREA EXTERNA (WHEELHAUSE TOP)"/>
    <x v="1"/>
    <m/>
    <m/>
    <x v="0"/>
    <m/>
    <x v="0"/>
    <m/>
    <s v=""/>
    <s v="Suporte antena Giro Sat Modelo (Precision-9) / Passar a informação e modelo 3d para Rafael incluir esse suporte direto no mastro"/>
  </r>
  <r>
    <x v="125"/>
    <m/>
    <x v="1"/>
    <x v="0"/>
    <x v="121"/>
    <x v="17"/>
    <x v="2"/>
    <s v="1.2.2 PRAÇA DE MÁQUINAS AUXILIAR"/>
    <x v="0"/>
    <s v="FEITO"/>
    <s v="FEITO"/>
    <x v="0"/>
    <s v="FABRICADO"/>
    <x v="0"/>
    <m/>
    <s v=""/>
    <m/>
  </r>
  <r>
    <x v="126"/>
    <s v="C67"/>
    <x v="1"/>
    <x v="0"/>
    <x v="122"/>
    <x v="1"/>
    <x v="2"/>
    <s v="4.13.2 AREA INTERNA (WHEELHAUSE PLENUM)"/>
    <x v="0"/>
    <m/>
    <m/>
    <x v="0"/>
    <s v="FABRICADO"/>
    <x v="0"/>
    <s v="FEITO"/>
    <s v=""/>
    <m/>
  </r>
  <r>
    <x v="127"/>
    <s v="E30"/>
    <x v="1"/>
    <x v="0"/>
    <x v="123"/>
    <x v="0"/>
    <x v="2"/>
    <m/>
    <x v="1"/>
    <m/>
    <m/>
    <x v="0"/>
    <s v="COMPRADO"/>
    <x v="0"/>
    <m/>
    <s v=""/>
    <m/>
  </r>
  <r>
    <x v="127"/>
    <s v="T33"/>
    <x v="1"/>
    <x v="0"/>
    <x v="124"/>
    <x v="1"/>
    <x v="2"/>
    <s v="2.22.4 ESCADA PRAÇA DE MÁQUINAS"/>
    <x v="1"/>
    <m/>
    <m/>
    <x v="0"/>
    <s v="FABRICADO"/>
    <x v="0"/>
    <m/>
    <s v=""/>
    <m/>
  </r>
  <r>
    <x v="127"/>
    <s v="D79"/>
    <x v="1"/>
    <x v="0"/>
    <x v="125"/>
    <x v="8"/>
    <x v="2"/>
    <s v="4.13.1 AREA INTERNA COMANDO"/>
    <x v="0"/>
    <m/>
    <m/>
    <x v="0"/>
    <s v="FABRICADO"/>
    <x v="0"/>
    <m/>
    <s v=""/>
    <s v="Aguardando definição Reginaldo Projeto"/>
  </r>
  <r>
    <x v="127"/>
    <s v="P82"/>
    <x v="1"/>
    <x v="0"/>
    <x v="126"/>
    <x v="10"/>
    <x v="2"/>
    <s v="4.13.2 AREA INTERNA (WHEELHAUSE PLENUM)"/>
    <x v="1"/>
    <m/>
    <m/>
    <x v="0"/>
    <s v="FABRICADO"/>
    <x v="0"/>
    <m/>
    <s v=""/>
    <m/>
  </r>
  <r>
    <x v="127"/>
    <m/>
    <x v="1"/>
    <x v="0"/>
    <x v="127"/>
    <x v="1"/>
    <x v="2"/>
    <m/>
    <x v="1"/>
    <m/>
    <m/>
    <x v="0"/>
    <m/>
    <x v="0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A3:C7" firstHeaderRow="1" firstDataRow="1" firstDataCol="3" rowPageCount="1" colPageCount="1"/>
  <pivotFields count="17">
    <pivotField axis="axisRow" compact="0" outline="0" showAll="0" defaultSubtotal="0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47"/>
        <item x="4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49"/>
        <item x="124"/>
        <item x="125"/>
        <item x="127"/>
      </items>
    </pivotField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3"/>
    <field x="2"/>
  </rowFields>
  <rowItems count="4">
    <i>
      <x v="1"/>
      <x v="1"/>
      <x/>
    </i>
    <i>
      <x v="2"/>
      <x v="1"/>
      <x v="1"/>
    </i>
    <i>
      <x v="3"/>
      <x v="1"/>
      <x/>
    </i>
    <i t="grand">
      <x/>
    </i>
  </rowItems>
  <colItems count="1">
    <i/>
  </colItems>
  <pageFields count="1">
    <pageField fld="6" item="2" hier="-1"/>
  </pageFields>
  <formats count="137">
    <format dxfId="163">
      <pivotArea type="all" dataOnly="0" outline="0" fieldPosition="0"/>
    </format>
    <format dxfId="162">
      <pivotArea outline="0" collapsedLevelsAreSubtotals="1" fieldPosition="0"/>
    </format>
    <format dxfId="161">
      <pivotArea field="0" type="button" dataOnly="0" labelOnly="1" outline="0" axis="axisRow" fieldPosition="0"/>
    </format>
    <format dxfId="160">
      <pivotArea field="3" type="button" dataOnly="0" labelOnly="1" outline="0" axis="axisRow" fieldPosition="1"/>
    </format>
    <format dxfId="159">
      <pivotArea dataOnly="0" labelOnly="1" outline="0" axis="axisValues" fieldPosition="0"/>
    </format>
    <format dxfId="158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7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6">
      <pivotArea dataOnly="0" labelOnly="1" outline="0" fieldPosition="0">
        <references count="1">
          <reference field="0" count="2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</reference>
        </references>
      </pivotArea>
    </format>
    <format dxfId="155">
      <pivotArea dataOnly="0" labelOnly="1" grandRow="1" outline="0" fieldPosition="0"/>
    </format>
    <format dxfId="154">
      <pivotArea dataOnly="0" labelOnly="1" outline="0" fieldPosition="0">
        <references count="2">
          <reference field="0" count="1" selected="0">
            <x v="0"/>
          </reference>
          <reference field="3" count="1">
            <x v="1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1"/>
          </reference>
          <reference field="3" count="1">
            <x v="1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2"/>
          </reference>
          <reference field="3" count="1">
            <x v="1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3"/>
          </reference>
          <reference field="3" count="1">
            <x v="1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4"/>
          </reference>
          <reference field="3" count="1">
            <x v="1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5"/>
          </reference>
          <reference field="3" count="1">
            <x v="1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6"/>
          </reference>
          <reference field="3" count="1">
            <x v="1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7"/>
          </reference>
          <reference field="3" count="1">
            <x v="1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8"/>
          </reference>
          <reference field="3" count="1">
            <x v="1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9"/>
          </reference>
          <reference field="3" count="1">
            <x v="1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10"/>
          </reference>
          <reference field="3" count="1">
            <x v="1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11"/>
          </reference>
          <reference field="3" count="1">
            <x v="1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12"/>
          </reference>
          <reference field="3" count="1">
            <x v="1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13"/>
          </reference>
          <reference field="3" count="1">
            <x v="1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14"/>
          </reference>
          <reference field="3" count="1">
            <x v="1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15"/>
          </reference>
          <reference field="3" count="1">
            <x v="1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16"/>
          </reference>
          <reference field="3" count="1">
            <x v="1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17"/>
          </reference>
          <reference field="3" count="1">
            <x v="1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18"/>
          </reference>
          <reference field="3" count="1">
            <x v="1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19"/>
          </reference>
          <reference field="3" count="1">
            <x v="1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20"/>
          </reference>
          <reference field="3" count="1">
            <x v="1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21"/>
          </reference>
          <reference field="3" count="1">
            <x v="1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22"/>
          </reference>
          <reference field="3" count="1">
            <x v="1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23"/>
          </reference>
          <reference field="3" count="1">
            <x v="1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24"/>
          </reference>
          <reference field="3" count="1">
            <x v="1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25"/>
          </reference>
          <reference field="3" count="1">
            <x v="1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26"/>
          </reference>
          <reference field="3" count="1">
            <x v="1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27"/>
          </reference>
          <reference field="3" count="1">
            <x v="1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28"/>
          </reference>
          <reference field="3" count="1">
            <x v="1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29"/>
          </reference>
          <reference field="3" count="1">
            <x v="1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30"/>
          </reference>
          <reference field="3" count="1">
            <x v="1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31"/>
          </reference>
          <reference field="3" count="1">
            <x v="1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32"/>
          </reference>
          <reference field="3" count="1">
            <x v="1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33"/>
          </reference>
          <reference field="3" count="1">
            <x v="1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34"/>
          </reference>
          <reference field="3" count="1">
            <x v="1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35"/>
          </reference>
          <reference field="3" count="1">
            <x v="1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36"/>
          </reference>
          <reference field="3" count="1">
            <x v="1"/>
          </reference>
        </references>
      </pivotArea>
    </format>
    <format dxfId="117">
      <pivotArea dataOnly="0" labelOnly="1" outline="0" fieldPosition="0">
        <references count="2">
          <reference field="0" count="1" selected="0">
            <x v="37"/>
          </reference>
          <reference field="3" count="1">
            <x v="1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38"/>
          </reference>
          <reference field="3" count="1">
            <x v="1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39"/>
          </reference>
          <reference field="3" count="1">
            <x v="1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40"/>
          </reference>
          <reference field="3" count="1">
            <x v="1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41"/>
          </reference>
          <reference field="3" count="1">
            <x v="1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42"/>
          </reference>
          <reference field="3" count="1">
            <x v="0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43"/>
          </reference>
          <reference field="3" count="1">
            <x v="1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44"/>
          </reference>
          <reference field="3" count="1">
            <x v="1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45"/>
          </reference>
          <reference field="3" count="1">
            <x v="1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46"/>
          </reference>
          <reference field="3" count="1">
            <x v="1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47"/>
          </reference>
          <reference field="3" count="1">
            <x v="1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48"/>
          </reference>
          <reference field="3" count="1">
            <x v="1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49"/>
          </reference>
          <reference field="3" count="1">
            <x v="1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50"/>
          </reference>
          <reference field="3" count="1">
            <x v="1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51"/>
          </reference>
          <reference field="3" count="1">
            <x v="1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52"/>
          </reference>
          <reference field="3" count="1">
            <x v="1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53"/>
          </reference>
          <reference field="3" count="1">
            <x v="1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54"/>
          </reference>
          <reference field="3" count="1">
            <x v="1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55"/>
          </reference>
          <reference field="3" count="1">
            <x v="1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56"/>
          </reference>
          <reference field="3" count="1">
            <x v="1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57"/>
          </reference>
          <reference field="3" count="1">
            <x v="1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58"/>
          </reference>
          <reference field="3" count="1">
            <x v="1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59"/>
          </reference>
          <reference field="3" count="1">
            <x v="1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60"/>
          </reference>
          <reference field="3" count="1">
            <x v="1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61"/>
          </reference>
          <reference field="3" count="1">
            <x v="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62"/>
          </reference>
          <reference field="3" count="1">
            <x v="1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63"/>
          </reference>
          <reference field="3" count="1">
            <x v="1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64"/>
          </reference>
          <reference field="3" count="1">
            <x v="1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65"/>
          </reference>
          <reference field="3" count="1">
            <x v="1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66"/>
          </reference>
          <reference field="3" count="1">
            <x v="1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67"/>
          </reference>
          <reference field="3" count="1">
            <x v="1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68"/>
          </reference>
          <reference field="3" count="1">
            <x v="1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69"/>
          </reference>
          <reference field="3" count="1">
            <x v="1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70"/>
          </reference>
          <reference field="3" count="1">
            <x v="1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71"/>
          </reference>
          <reference field="3" count="1">
            <x v="1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72"/>
          </reference>
          <reference field="3" count="1">
            <x v="1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73"/>
          </reference>
          <reference field="3" count="1">
            <x v="1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74"/>
          </reference>
          <reference field="3" count="1">
            <x v="1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75"/>
          </reference>
          <reference field="3" count="1">
            <x v="1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76"/>
          </reference>
          <reference field="3" count="1">
            <x v="1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77"/>
          </reference>
          <reference field="3" count="1">
            <x v="1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78"/>
          </reference>
          <reference field="3" count="1">
            <x v="1"/>
          </reference>
        </references>
      </pivotArea>
    </format>
    <format dxfId="75">
      <pivotArea dataOnly="0" labelOnly="1" outline="0" fieldPosition="0">
        <references count="2">
          <reference field="0" count="1" selected="0">
            <x v="79"/>
          </reference>
          <reference field="3" count="1">
            <x v="1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80"/>
          </reference>
          <reference field="3" count="1">
            <x v="1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81"/>
          </reference>
          <reference field="3" count="1">
            <x v="1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82"/>
          </reference>
          <reference field="3" count="1">
            <x v="1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83"/>
          </reference>
          <reference field="3" count="1">
            <x v="1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84"/>
          </reference>
          <reference field="3" count="1">
            <x v="1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85"/>
          </reference>
          <reference field="3" count="1">
            <x v="1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86"/>
          </reference>
          <reference field="3" count="1">
            <x v="1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87"/>
          </reference>
          <reference field="3" count="1">
            <x v="1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88"/>
          </reference>
          <reference field="3" count="1">
            <x v="1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89"/>
          </reference>
          <reference field="3" count="1">
            <x v="1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90"/>
          </reference>
          <reference field="3" count="1">
            <x v="1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91"/>
          </reference>
          <reference field="3" count="1">
            <x v="1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92"/>
          </reference>
          <reference field="3" count="1">
            <x v="1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93"/>
          </reference>
          <reference field="3" count="1">
            <x v="1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94"/>
          </reference>
          <reference field="3" count="1">
            <x v="1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95"/>
          </reference>
          <reference field="3" count="1">
            <x v="1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96"/>
          </reference>
          <reference field="3" count="1">
            <x v="1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97"/>
          </reference>
          <reference field="3" count="1">
            <x v="1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98"/>
          </reference>
          <reference field="3" count="1">
            <x v="1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99"/>
          </reference>
          <reference field="3" count="1">
            <x v="1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100"/>
          </reference>
          <reference field="3" count="1">
            <x v="1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101"/>
          </reference>
          <reference field="3" count="1">
            <x v="1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102"/>
          </reference>
          <reference field="3" count="1">
            <x v="1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103"/>
          </reference>
          <reference field="3" count="1">
            <x v="1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104"/>
          </reference>
          <reference field="3" count="1">
            <x v="1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105"/>
          </reference>
          <reference field="3" count="1">
            <x v="1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106"/>
          </reference>
          <reference field="3" count="1">
            <x v="1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107"/>
          </reference>
          <reference field="3" count="1">
            <x v="1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8"/>
          </reference>
          <reference field="3" count="1">
            <x v="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109"/>
          </reference>
          <reference field="3" count="1">
            <x v="1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110"/>
          </reference>
          <reference field="3" count="1">
            <x v="1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11"/>
          </reference>
          <reference field="3" count="1">
            <x v="1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12"/>
          </reference>
          <reference field="3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113"/>
          </reference>
          <reference field="3" count="1">
            <x v="1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114"/>
          </reference>
          <reference field="3" count="1">
            <x v="1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115"/>
          </reference>
          <reference field="3" count="1">
            <x v="1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116"/>
          </reference>
          <reference field="3" count="1">
            <x v="1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17"/>
          </reference>
          <reference field="3" count="1">
            <x v="1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118"/>
          </reference>
          <reference field="3" count="1">
            <x v="1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119"/>
          </reference>
          <reference field="3" count="1">
            <x v="1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120"/>
          </reference>
          <reference field="3" count="1">
            <x v="1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21"/>
          </reference>
          <reference field="3" count="1">
            <x v="1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22"/>
          </reference>
          <reference field="3" count="1">
            <x v="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3"/>
          </reference>
          <reference field="3" count="1">
            <x v="1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24"/>
          </reference>
          <reference field="3" count="1">
            <x v="1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25"/>
          </reference>
          <reference field="3" count="1">
            <x v="1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26"/>
          </reference>
          <reference field="3" count="1">
            <x v="1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27"/>
          </reference>
          <reference field="3" count="1">
            <x v="1"/>
          </reference>
        </references>
      </pivotArea>
    </format>
  </formats>
  <pivotTableStyleInfo name="PivotStyleLight1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C18" firstHeaderRow="1" firstDataRow="1" firstDataCol="0"/>
  <pivotFields count="17">
    <pivotField showAll="0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47"/>
        <item x="4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49"/>
        <item x="124"/>
        <item x="125"/>
        <item x="1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9" unboundColumnsRight="1">
    <queryTableFields count="6">
      <queryTableField id="1" name="Lista de compartimentos" tableColumnId="28"/>
      <queryTableField id="7" dataBound="0" tableColumnId="34"/>
      <queryTableField id="2" name="Lista sistemas" tableColumnId="29"/>
      <queryTableField id="3" name="status" tableColumnId="30"/>
      <queryTableField id="4" name="Tipo de acessórios" tableColumnId="31"/>
      <queryTableField id="8" dataBound="0" tableColumnId="3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BASE_DE_DADOS" displayName="BASE_DE_DADOS" ref="A1:Q142" totalsRowShown="0" headerRowDxfId="26" dataDxfId="25">
  <autoFilter ref="A1:Q142"/>
  <tableColumns count="17">
    <tableColumn id="55" name="CÓD. 006/23" dataDxfId="24"/>
    <tableColumn id="56" name="CÓD. 015/20" dataDxfId="23"/>
    <tableColumn id="71" name="QUANTIDADE" dataDxfId="22"/>
    <tableColumn id="72" name="PASTA 006/23" dataDxfId="21">
      <calculatedColumnFormula>IF(BASE_DE_DADOS[[#This Row],[ELEMENTO]]="ACESSÓRIO", HYPERLINK("P:\00623\Inventor\Acessórios\Fabricados\A" &amp; BASE_DE_DADOS[[#This Row],[CÓD. 006/23]] &amp; "\","A" &amp; BASE_DE_DADOS[[#This Row],[CÓD. 006/23]]), "")</calculatedColumnFormula>
    </tableColumn>
    <tableColumn id="57" name="DESCRIÇÃO" dataDxfId="20"/>
    <tableColumn id="58" name="SISTEMA " dataDxfId="19"/>
    <tableColumn id="70" name="ESTRATÉGIA DE CONSTRUÇÃO" dataDxfId="18"/>
    <tableColumn id="59" name="ÁREA SOCP" dataDxfId="17"/>
    <tableColumn id="60" name="SOCP" dataDxfId="16"/>
    <tableColumn id="61" name="EF" dataDxfId="15"/>
    <tableColumn id="62" name="FORAN" dataDxfId="14"/>
    <tableColumn id="74" name="ELEMENTO" dataDxfId="13"/>
    <tableColumn id="63" name="TIPO" dataDxfId="12"/>
    <tableColumn id="64" name="EM" dataDxfId="11">
      <calculatedColumnFormula>IF(BASE_DE_DADOS[[#This Row],[ELEMENTO]]="ACESSÓRIO",IF(EXISTEARQUIVO("P:\00623\Documentos de projeto\05 - Elétrica\Montagem\00623_04_1_1_1_EM_A" &amp;BASE_DE_DADOS[[#This Row],[CÓD. 006/23]] &amp;"*.pdf"), "FEITO", "SEM DOCUMENTO"), " ")</calculatedColumnFormula>
    </tableColumn>
    <tableColumn id="65" name="NEST" dataDxfId="10">
      <calculatedColumnFormula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calculatedColumnFormula>
    </tableColumn>
    <tableColumn id="66" name="LIBERADO" dataDxfId="9"/>
    <tableColumn id="67" name="OBSERVAÇÃO" dataDxfId="8"/>
  </tableColumns>
  <tableStyleInfo name="TableStyleQueryPreview" showFirstColumn="0" showLastColumn="0" showRowStripes="1" showColumnStripes="0"/>
</table>
</file>

<file path=xl/tables/table2.xml><?xml version="1.0" encoding="utf-8"?>
<table xmlns="http://schemas.openxmlformats.org/spreadsheetml/2006/main" id="2" name="VALIDAÇÃO_DE_DADOS" displayName="VALIDAÇÃO_DE_DADOS" ref="A1:F57" tableType="queryTable" totalsRowShown="0" headerRowDxfId="7" dataDxfId="6">
  <autoFilter ref="A1:F57"/>
  <tableColumns count="6">
    <tableColumn id="28" uniqueName="28" name="Lista de compartimentos" queryTableFieldId="1" dataDxfId="5"/>
    <tableColumn id="34" uniqueName="34" name="ESTRÁTÉGIA DE CONSTRUÇÃO" queryTableFieldId="7" dataDxfId="4"/>
    <tableColumn id="29" uniqueName="29" name="Lista sistemas" queryTableFieldId="2" dataDxfId="3"/>
    <tableColumn id="30" uniqueName="30" name="status" queryTableFieldId="3" dataDxfId="2"/>
    <tableColumn id="31" uniqueName="31" name="Tipo" queryTableFieldId="4" dataDxfId="1"/>
    <tableColumn id="35" uniqueName="35" name="ELEMENTO" queryTableFieldId="8" dataDxfId="0"/>
  </tableColumns>
  <tableStyleInfo name="TableStyleQueryPreview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C7"/>
  <sheetViews>
    <sheetView workbookViewId="0">
      <selection activeCell="C12" sqref="C12"/>
    </sheetView>
  </sheetViews>
  <sheetFormatPr defaultRowHeight="15.05"/>
  <cols>
    <col min="1" max="1" width="18" customWidth="1"/>
    <col min="2" max="4" width="15.44140625" customWidth="1"/>
    <col min="5" max="5" width="10.6640625" customWidth="1"/>
    <col min="6" max="128" width="19.5546875" bestFit="1" customWidth="1"/>
    <col min="129" max="129" width="10.6640625" bestFit="1" customWidth="1"/>
  </cols>
  <sheetData>
    <row r="1" spans="1:3">
      <c r="A1" s="8" t="s">
        <v>251</v>
      </c>
      <c r="B1" s="7" t="s">
        <v>399</v>
      </c>
    </row>
    <row r="3" spans="1:3">
      <c r="A3" s="8" t="s">
        <v>0</v>
      </c>
      <c r="B3" s="8" t="s">
        <v>423</v>
      </c>
      <c r="C3" s="8" t="s">
        <v>417</v>
      </c>
    </row>
    <row r="4" spans="1:3">
      <c r="A4" s="7">
        <v>742</v>
      </c>
      <c r="B4" s="7" t="s">
        <v>431</v>
      </c>
      <c r="C4" s="7" t="s">
        <v>431</v>
      </c>
    </row>
    <row r="5" spans="1:3">
      <c r="A5" s="7">
        <v>743</v>
      </c>
      <c r="B5" s="7" t="s">
        <v>431</v>
      </c>
      <c r="C5" s="7">
        <v>2</v>
      </c>
    </row>
    <row r="6" spans="1:3">
      <c r="A6" s="7">
        <v>747</v>
      </c>
      <c r="B6" s="7" t="s">
        <v>431</v>
      </c>
      <c r="C6" s="7" t="s">
        <v>431</v>
      </c>
    </row>
    <row r="7" spans="1:3">
      <c r="A7" s="7" t="s">
        <v>432</v>
      </c>
      <c r="B7" s="7"/>
      <c r="C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Q142"/>
  <sheetViews>
    <sheetView tabSelected="1" topLeftCell="A10" zoomScale="85" zoomScaleNormal="85" workbookViewId="0">
      <pane xSplit="1" topLeftCell="E1" activePane="topRight" state="frozen"/>
      <selection pane="topRight" activeCell="G22" sqref="G22"/>
    </sheetView>
  </sheetViews>
  <sheetFormatPr defaultRowHeight="15.05"/>
  <cols>
    <col min="1" max="1" width="12.5546875" style="4" customWidth="1"/>
    <col min="2" max="2" width="12.33203125" style="4" customWidth="1"/>
    <col min="3" max="3" width="15.5546875" style="4" customWidth="1"/>
    <col min="4" max="4" width="21.109375" style="21" bestFit="1" customWidth="1"/>
    <col min="5" max="5" width="53" style="4" customWidth="1"/>
    <col min="6" max="6" width="44.109375" style="4" customWidth="1"/>
    <col min="7" max="7" width="33.77734375" style="4" customWidth="1"/>
    <col min="8" max="8" width="49.6640625" style="2" customWidth="1"/>
    <col min="9" max="9" width="10.109375" style="4" customWidth="1"/>
    <col min="10" max="10" width="15.44140625" style="28" bestFit="1" customWidth="1"/>
    <col min="11" max="11" width="10.88671875" style="4" customWidth="1"/>
    <col min="12" max="12" width="36.33203125" style="4" customWidth="1"/>
    <col min="13" max="13" width="23.109375" style="4" bestFit="1" customWidth="1"/>
    <col min="14" max="14" width="15.44140625" bestFit="1" customWidth="1"/>
    <col min="15" max="15" width="8.88671875" style="4" bestFit="1" customWidth="1"/>
    <col min="16" max="16" width="14.33203125" bestFit="1" customWidth="1"/>
    <col min="17" max="17" width="43.109375" bestFit="1" customWidth="1"/>
    <col min="18" max="18" width="49.6640625" bestFit="1" customWidth="1"/>
    <col min="19" max="19" width="8" bestFit="1" customWidth="1"/>
    <col min="20" max="20" width="6" bestFit="1" customWidth="1"/>
    <col min="21" max="21" width="9.5546875" bestFit="1" customWidth="1"/>
    <col min="22" max="22" width="20.88671875" bestFit="1" customWidth="1"/>
    <col min="23" max="23" width="6.109375" bestFit="1" customWidth="1"/>
    <col min="24" max="24" width="7.6640625" bestFit="1" customWidth="1"/>
    <col min="25" max="25" width="12" bestFit="1" customWidth="1"/>
    <col min="26" max="26" width="14" bestFit="1" customWidth="1"/>
    <col min="27" max="27" width="81.109375" customWidth="1"/>
  </cols>
  <sheetData>
    <row r="1" spans="1:17">
      <c r="A1" s="3" t="s">
        <v>0</v>
      </c>
      <c r="B1" s="3" t="s">
        <v>10</v>
      </c>
      <c r="C1" s="3" t="s">
        <v>417</v>
      </c>
      <c r="D1" s="19" t="s">
        <v>423</v>
      </c>
      <c r="E1" s="3" t="s">
        <v>1</v>
      </c>
      <c r="F1" s="3" t="s">
        <v>2</v>
      </c>
      <c r="G1" s="3" t="s">
        <v>251</v>
      </c>
      <c r="H1" s="3" t="s">
        <v>3</v>
      </c>
      <c r="I1" s="3" t="s">
        <v>4</v>
      </c>
      <c r="J1" s="26" t="s">
        <v>5</v>
      </c>
      <c r="K1" s="3" t="s">
        <v>6</v>
      </c>
      <c r="L1" s="3" t="s">
        <v>415</v>
      </c>
      <c r="M1" s="3" t="s">
        <v>426</v>
      </c>
      <c r="N1" s="3" t="s">
        <v>7</v>
      </c>
      <c r="O1" s="3" t="s">
        <v>8</v>
      </c>
      <c r="P1" s="3" t="s">
        <v>9</v>
      </c>
      <c r="Q1" s="3" t="s">
        <v>11</v>
      </c>
    </row>
    <row r="2" spans="1:17">
      <c r="A2" s="5">
        <v>741</v>
      </c>
      <c r="B2" s="5" t="s">
        <v>15</v>
      </c>
      <c r="C2" s="3">
        <v>1</v>
      </c>
      <c r="D2" s="20" t="str">
        <f>IF(BASE_DE_DADOS[[#This Row],[ELEMENTO]]="ACESSÓRIO", HYPERLINK("P:\00623\Inventor\Acessórios\Fabricados\A" &amp; BASE_DE_DADOS[[#This Row],[CÓD. 006/23]] &amp; "\","A" &amp; BASE_DE_DADOS[[#This Row],[CÓD. 006/23]]), "")</f>
        <v>A741</v>
      </c>
      <c r="E2" s="5" t="s">
        <v>252</v>
      </c>
      <c r="F2" s="5" t="s">
        <v>12</v>
      </c>
      <c r="G2" s="5" t="s">
        <v>400</v>
      </c>
      <c r="H2" s="5"/>
      <c r="I2" s="5" t="s">
        <v>13</v>
      </c>
      <c r="J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" s="5"/>
      <c r="L2" s="5" t="s">
        <v>416</v>
      </c>
      <c r="M2" s="5" t="s">
        <v>14</v>
      </c>
      <c r="N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" s="6" t="str">
        <f>IF(AND(BASE_DE_DADOS[[#This Row],[EM]]="FEITO",BASE_DE_DADOS[[#This Row],[EF]]="FEITO"), "FEITO", "")</f>
        <v/>
      </c>
      <c r="Q2" s="6"/>
    </row>
    <row r="3" spans="1:17">
      <c r="A3" s="5">
        <v>742</v>
      </c>
      <c r="B3" s="5" t="s">
        <v>16</v>
      </c>
      <c r="C3" s="3">
        <v>45</v>
      </c>
      <c r="D3" s="20" t="str">
        <f>IF(BASE_DE_DADOS[[#This Row],[ELEMENTO]]="ACESSÓRIO", HYPERLINK("P:\00623\Inventor\Acessórios\Fabricados\A" &amp; BASE_DE_DADOS[[#This Row],[CÓD. 006/23]] &amp; "\","A" &amp; BASE_DE_DADOS[[#This Row],[CÓD. 006/23]]), "")</f>
        <v>A742</v>
      </c>
      <c r="E3" s="5" t="s">
        <v>252</v>
      </c>
      <c r="F3" s="5" t="s">
        <v>12</v>
      </c>
      <c r="G3" s="5" t="s">
        <v>399</v>
      </c>
      <c r="H3" s="5"/>
      <c r="I3" s="5" t="s">
        <v>13</v>
      </c>
      <c r="J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" s="5"/>
      <c r="L3" s="5" t="s">
        <v>416</v>
      </c>
      <c r="M3" s="5" t="s">
        <v>14</v>
      </c>
      <c r="N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" s="6" t="str">
        <f>IF(AND(BASE_DE_DADOS[[#This Row],[EM]]="FEITO",BASE_DE_DADOS[[#This Row],[EF]]="FEITO"), "FEITO", "")</f>
        <v/>
      </c>
      <c r="Q3" s="6"/>
    </row>
    <row r="4" spans="1:17">
      <c r="A4" s="5">
        <v>743</v>
      </c>
      <c r="B4" s="5" t="s">
        <v>17</v>
      </c>
      <c r="C4" s="3">
        <v>5</v>
      </c>
      <c r="D4" s="20" t="str">
        <f>IF(BASE_DE_DADOS[[#This Row],[ELEMENTO]]="ACESSÓRIO", HYPERLINK("P:\00623\Inventor\Acessórios\Fabricados\A" &amp; BASE_DE_DADOS[[#This Row],[CÓD. 006/23]] &amp; "\","A" &amp; BASE_DE_DADOS[[#This Row],[CÓD. 006/23]]), "")</f>
        <v>A743</v>
      </c>
      <c r="E4" s="5" t="s">
        <v>252</v>
      </c>
      <c r="F4" s="5" t="s">
        <v>12</v>
      </c>
      <c r="G4" s="5" t="s">
        <v>402</v>
      </c>
      <c r="H4" s="5"/>
      <c r="I4" s="5" t="s">
        <v>13</v>
      </c>
      <c r="J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4" s="5"/>
      <c r="L4" s="5" t="s">
        <v>416</v>
      </c>
      <c r="M4" s="5" t="s">
        <v>14</v>
      </c>
      <c r="N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4" s="6" t="str">
        <f>IF(AND(BASE_DE_DADOS[[#This Row],[EM]]="FEITO",BASE_DE_DADOS[[#This Row],[EF]]="FEITO"), "FEITO", "")</f>
        <v/>
      </c>
      <c r="Q4" s="6"/>
    </row>
    <row r="5" spans="1:17">
      <c r="A5" s="5">
        <v>747</v>
      </c>
      <c r="B5" s="5" t="s">
        <v>19</v>
      </c>
      <c r="C5" s="4">
        <v>4</v>
      </c>
      <c r="D5" s="20" t="str">
        <f>IF(BASE_DE_DADOS[[#This Row],[ELEMENTO]]="ACESSÓRIO", HYPERLINK("P:\00623\Inventor\Acessórios\Fabricados\A" &amp; BASE_DE_DADOS[[#This Row],[CÓD. 006/23]] &amp; "\","A" &amp; BASE_DE_DADOS[[#This Row],[CÓD. 006/23]]), "")</f>
        <v>A747</v>
      </c>
      <c r="E5" s="5" t="s">
        <v>252</v>
      </c>
      <c r="F5" s="5" t="s">
        <v>12</v>
      </c>
      <c r="G5" s="5" t="s">
        <v>399</v>
      </c>
      <c r="H5" s="5" t="s">
        <v>18</v>
      </c>
      <c r="I5" s="5" t="s">
        <v>13</v>
      </c>
      <c r="J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5" s="5" t="s">
        <v>13</v>
      </c>
      <c r="L5" s="5" t="s">
        <v>416</v>
      </c>
      <c r="M5" s="5" t="s">
        <v>14</v>
      </c>
      <c r="N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5" s="6" t="str">
        <f>IF(AND(BASE_DE_DADOS[[#This Row],[EM]]="FEITO",BASE_DE_DADOS[[#This Row],[EF]]="FEITO"), "FEITO", "")</f>
        <v/>
      </c>
      <c r="Q5" s="6"/>
    </row>
    <row r="6" spans="1:17" s="25" customFormat="1">
      <c r="A6" s="22">
        <v>753</v>
      </c>
      <c r="B6" s="22" t="s">
        <v>20</v>
      </c>
      <c r="C6" s="16">
        <v>1</v>
      </c>
      <c r="D6" s="23" t="str">
        <f>IF(BASE_DE_DADOS[[#This Row],[ELEMENTO]]="ACESSÓRIO", HYPERLINK("P:\00623\Inventor\Acessórios\Fabricados\A" &amp; BASE_DE_DADOS[[#This Row],[CÓD. 006/23]] &amp; "\","A" &amp; BASE_DE_DADOS[[#This Row],[CÓD. 006/23]]), "")</f>
        <v>A753</v>
      </c>
      <c r="E6" s="22" t="s">
        <v>253</v>
      </c>
      <c r="F6" s="22" t="s">
        <v>12</v>
      </c>
      <c r="G6" s="22"/>
      <c r="H6" s="22"/>
      <c r="I6" s="22" t="s">
        <v>13</v>
      </c>
      <c r="J6" s="32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6" s="22" t="s">
        <v>13</v>
      </c>
      <c r="L6" s="22" t="s">
        <v>416</v>
      </c>
      <c r="M6" s="22" t="s">
        <v>14</v>
      </c>
      <c r="N6" s="2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" s="2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6" s="24" t="str">
        <f>IF(AND(BASE_DE_DADOS[[#This Row],[EM]]="FEITO",BASE_DE_DADOS[[#This Row],[EF]]="FEITO"), "FEITO", "")</f>
        <v/>
      </c>
      <c r="Q6" s="24" t="s">
        <v>443</v>
      </c>
    </row>
    <row r="7" spans="1:17">
      <c r="A7" s="5">
        <v>753</v>
      </c>
      <c r="B7" s="5" t="s">
        <v>20</v>
      </c>
      <c r="C7" s="3">
        <v>1</v>
      </c>
      <c r="D7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7" s="5" t="s">
        <v>253</v>
      </c>
      <c r="F7" s="5" t="s">
        <v>12</v>
      </c>
      <c r="G7" s="5"/>
      <c r="H7" s="5"/>
      <c r="I7" s="5"/>
      <c r="J7" s="31"/>
      <c r="K7" s="5"/>
      <c r="L7" s="5"/>
      <c r="M7" s="5"/>
      <c r="N7" s="5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7" s="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7" s="6"/>
      <c r="Q7" s="6"/>
    </row>
    <row r="8" spans="1:17">
      <c r="A8" s="5">
        <v>757</v>
      </c>
      <c r="B8" s="5" t="s">
        <v>21</v>
      </c>
      <c r="C8" s="3">
        <v>1</v>
      </c>
      <c r="D8" s="20" t="str">
        <f>IF(BASE_DE_DADOS[[#This Row],[ELEMENTO]]="ACESSÓRIO", HYPERLINK("P:\00623\Inventor\Acessórios\Fabricados\A" &amp; BASE_DE_DADOS[[#This Row],[CÓD. 006/23]] &amp; "\","A" &amp; BASE_DE_DADOS[[#This Row],[CÓD. 006/23]]), "")</f>
        <v>A757</v>
      </c>
      <c r="E8" s="5" t="s">
        <v>254</v>
      </c>
      <c r="F8" s="5" t="s">
        <v>12</v>
      </c>
      <c r="G8" s="5"/>
      <c r="H8" s="5"/>
      <c r="I8" s="5" t="s">
        <v>13</v>
      </c>
      <c r="J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8" s="5" t="s">
        <v>13</v>
      </c>
      <c r="L8" s="5" t="s">
        <v>416</v>
      </c>
      <c r="M8" s="5" t="s">
        <v>14</v>
      </c>
      <c r="N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8" s="6" t="str">
        <f>IF(AND(BASE_DE_DADOS[[#This Row],[EM]]="FEITO",BASE_DE_DADOS[[#This Row],[EF]]="FEITO"), "FEITO", "")</f>
        <v/>
      </c>
      <c r="Q8" s="6"/>
    </row>
    <row r="9" spans="1:17">
      <c r="A9" s="5">
        <v>757</v>
      </c>
      <c r="B9" s="5" t="s">
        <v>21</v>
      </c>
      <c r="C9" s="3">
        <v>1</v>
      </c>
      <c r="D9" s="30" t="str">
        <f>IF(BASE_DE_DADOS[[#This Row],[ELEMENTO]]="ACESSÓRIO", HYPERLINK("P:\00623\Inventor\Acessórios\Fabricados\A" &amp; BASE_DE_DADOS[[#This Row],[CÓD. 006/23]] &amp; "\","A" &amp; BASE_DE_DADOS[[#This Row],[CÓD. 006/23]]), "")</f>
        <v>A757</v>
      </c>
      <c r="E9" s="5"/>
      <c r="F9" s="5"/>
      <c r="G9" s="5"/>
      <c r="H9" s="5"/>
      <c r="I9" s="5"/>
      <c r="J9" s="31"/>
      <c r="K9" s="5"/>
      <c r="L9" s="5" t="s">
        <v>416</v>
      </c>
      <c r="M9" s="5"/>
      <c r="N9" s="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" s="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9" s="6"/>
      <c r="Q9" s="6"/>
    </row>
    <row r="10" spans="1:17">
      <c r="A10" s="5">
        <v>762</v>
      </c>
      <c r="B10" s="5" t="s">
        <v>22</v>
      </c>
      <c r="C10" s="3">
        <v>6</v>
      </c>
      <c r="D10" s="20" t="str">
        <f>IF(BASE_DE_DADOS[[#This Row],[ELEMENTO]]="ACESSÓRIO", HYPERLINK("P:\00623\Inventor\Acessórios\Fabricados\A" &amp; BASE_DE_DADOS[[#This Row],[CÓD. 006/23]] &amp; "\","A" &amp; BASE_DE_DADOS[[#This Row],[CÓD. 006/23]]), "")</f>
        <v>A762</v>
      </c>
      <c r="E10" s="5" t="s">
        <v>255</v>
      </c>
      <c r="F10" s="5" t="s">
        <v>12</v>
      </c>
      <c r="G10" s="5"/>
      <c r="H10" s="5"/>
      <c r="I10" s="5" t="s">
        <v>13</v>
      </c>
      <c r="J1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0" s="5"/>
      <c r="L10" s="5" t="s">
        <v>416</v>
      </c>
      <c r="M10" s="5" t="s">
        <v>14</v>
      </c>
      <c r="N1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0" s="6" t="str">
        <f>IF(AND(BASE_DE_DADOS[[#This Row],[EM]]="FEITO",BASE_DE_DADOS[[#This Row],[EF]]="FEITO"), "FEITO", "")</f>
        <v/>
      </c>
      <c r="Q10" s="6"/>
    </row>
    <row r="11" spans="1:17">
      <c r="A11" s="5">
        <v>763</v>
      </c>
      <c r="B11" s="5" t="s">
        <v>23</v>
      </c>
      <c r="C11" s="3">
        <v>1</v>
      </c>
      <c r="D11" s="20" t="str">
        <f>IF(BASE_DE_DADOS[[#This Row],[ELEMENTO]]="ACESSÓRIO", HYPERLINK("P:\00623\Inventor\Acessórios\Fabricados\A" &amp; BASE_DE_DADOS[[#This Row],[CÓD. 006/23]] &amp; "\","A" &amp; BASE_DE_DADOS[[#This Row],[CÓD. 006/23]]), "")</f>
        <v>A763</v>
      </c>
      <c r="E11" s="5" t="s">
        <v>256</v>
      </c>
      <c r="F11" s="5" t="s">
        <v>12</v>
      </c>
      <c r="G11" s="5"/>
      <c r="H11" s="5" t="s">
        <v>18</v>
      </c>
      <c r="I11" s="5" t="s">
        <v>13</v>
      </c>
      <c r="J1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1" s="5" t="s">
        <v>13</v>
      </c>
      <c r="L11" s="5" t="s">
        <v>416</v>
      </c>
      <c r="M11" s="5" t="s">
        <v>14</v>
      </c>
      <c r="N1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1" s="6" t="str">
        <f>IF(AND(BASE_DE_DADOS[[#This Row],[EM]]="FEITO",BASE_DE_DADOS[[#This Row],[EF]]="FEITO"), "FEITO", "")</f>
        <v/>
      </c>
      <c r="Q11" s="6"/>
    </row>
    <row r="12" spans="1:17">
      <c r="A12" s="5">
        <v>763</v>
      </c>
      <c r="B12" s="5" t="s">
        <v>23</v>
      </c>
      <c r="C12" s="3">
        <v>1</v>
      </c>
      <c r="D12" s="3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12" s="5"/>
      <c r="F12" s="5"/>
      <c r="G12" s="5"/>
      <c r="H12" s="5"/>
      <c r="I12" s="5"/>
      <c r="J12" s="31"/>
      <c r="K12" s="5"/>
      <c r="L12" s="5"/>
      <c r="M12" s="5"/>
      <c r="N12" s="5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12" s="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12" s="6"/>
      <c r="Q12" s="6"/>
    </row>
    <row r="13" spans="1:17">
      <c r="A13" s="5">
        <v>764</v>
      </c>
      <c r="B13" s="5" t="s">
        <v>24</v>
      </c>
      <c r="C13" s="3">
        <v>2</v>
      </c>
      <c r="D13" s="20" t="str">
        <f>IF(BASE_DE_DADOS[[#This Row],[ELEMENTO]]="ACESSÓRIO", HYPERLINK("P:\00623\Inventor\Acessórios\Fabricados\A" &amp; BASE_DE_DADOS[[#This Row],[CÓD. 006/23]] &amp; "\","A" &amp; BASE_DE_DADOS[[#This Row],[CÓD. 006/23]]), "")</f>
        <v>A764</v>
      </c>
      <c r="E13" s="5" t="s">
        <v>257</v>
      </c>
      <c r="F13" s="5" t="s">
        <v>12</v>
      </c>
      <c r="G13" s="5"/>
      <c r="H13" s="5"/>
      <c r="I13" s="5" t="s">
        <v>13</v>
      </c>
      <c r="J1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3" s="5"/>
      <c r="L13" s="5" t="s">
        <v>416</v>
      </c>
      <c r="M13" s="5" t="s">
        <v>14</v>
      </c>
      <c r="N13" s="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" s="6" t="str">
        <f>IF(AND(BASE_DE_DADOS[[#This Row],[EM]]="FEITO",BASE_DE_DADOS[[#This Row],[EF]]="FEITO"), "FEITO", "")</f>
        <v/>
      </c>
      <c r="Q13" s="6"/>
    </row>
    <row r="14" spans="1:17">
      <c r="A14" s="5">
        <v>765</v>
      </c>
      <c r="B14" s="5" t="s">
        <v>25</v>
      </c>
      <c r="C14" s="3">
        <v>2</v>
      </c>
      <c r="D14" s="20" t="str">
        <f>IF(BASE_DE_DADOS[[#This Row],[ELEMENTO]]="ACESSÓRIO", HYPERLINK("P:\00623\Inventor\Acessórios\Fabricados\A" &amp; BASE_DE_DADOS[[#This Row],[CÓD. 006/23]] &amp; "\","A" &amp; BASE_DE_DADOS[[#This Row],[CÓD. 006/23]]), "")</f>
        <v>A765</v>
      </c>
      <c r="E14" s="5" t="s">
        <v>258</v>
      </c>
      <c r="F14" s="5" t="s">
        <v>12</v>
      </c>
      <c r="G14" s="5"/>
      <c r="H14" s="5"/>
      <c r="I14" s="5" t="s">
        <v>13</v>
      </c>
      <c r="J1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4" s="5"/>
      <c r="L14" s="5" t="s">
        <v>416</v>
      </c>
      <c r="M14" s="5" t="s">
        <v>14</v>
      </c>
      <c r="N1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4" s="6" t="str">
        <f>IF(AND(BASE_DE_DADOS[[#This Row],[EM]]="FEITO",BASE_DE_DADOS[[#This Row],[EF]]="FEITO"), "FEITO", "")</f>
        <v/>
      </c>
      <c r="Q14" s="6"/>
    </row>
    <row r="15" spans="1:17">
      <c r="A15" s="5">
        <v>789</v>
      </c>
      <c r="B15" s="5">
        <v>864</v>
      </c>
      <c r="C15" s="3">
        <v>3</v>
      </c>
      <c r="D15" s="20" t="str">
        <f>IF(BASE_DE_DADOS[[#This Row],[ELEMENTO]]="ACESSÓRIO", HYPERLINK("P:\00623\Inventor\Acessórios\Fabricados\A" &amp; BASE_DE_DADOS[[#This Row],[CÓD. 006/23]] &amp; "\","A" &amp; BASE_DE_DADOS[[#This Row],[CÓD. 006/23]]), "")</f>
        <v>A789</v>
      </c>
      <c r="E15" s="5" t="s">
        <v>259</v>
      </c>
      <c r="F15" s="5" t="s">
        <v>12</v>
      </c>
      <c r="G15" s="5"/>
      <c r="H15" s="5"/>
      <c r="I15" s="5" t="s">
        <v>13</v>
      </c>
      <c r="J1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5" s="5"/>
      <c r="L15" s="5" t="s">
        <v>416</v>
      </c>
      <c r="M15" s="5" t="s">
        <v>26</v>
      </c>
      <c r="N1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5" s="6" t="str">
        <f>IF(AND(BASE_DE_DADOS[[#This Row],[EM]]="FEITO",BASE_DE_DADOS[[#This Row],[EF]]="FEITO"), "FEITO", "")</f>
        <v/>
      </c>
      <c r="Q15" s="6"/>
    </row>
    <row r="16" spans="1:17">
      <c r="A16" s="5">
        <v>796</v>
      </c>
      <c r="B16" s="5" t="s">
        <v>28</v>
      </c>
      <c r="C16" s="3">
        <v>1</v>
      </c>
      <c r="D16" s="20" t="str">
        <f>IF(BASE_DE_DADOS[[#This Row],[ELEMENTO]]="ACESSÓRIO", HYPERLINK("P:\00623\Inventor\Acessórios\Fabricados\A" &amp; BASE_DE_DADOS[[#This Row],[CÓD. 006/23]] &amp; "\","A" &amp; BASE_DE_DADOS[[#This Row],[CÓD. 006/23]]), "")</f>
        <v>A796</v>
      </c>
      <c r="E16" s="5" t="s">
        <v>260</v>
      </c>
      <c r="F16" s="5" t="s">
        <v>12</v>
      </c>
      <c r="H16" s="5" t="s">
        <v>27</v>
      </c>
      <c r="I16" s="5" t="s">
        <v>13</v>
      </c>
      <c r="J1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6" s="5"/>
      <c r="L16" s="5" t="s">
        <v>416</v>
      </c>
      <c r="M16" s="5" t="s">
        <v>26</v>
      </c>
      <c r="N1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6" s="6" t="str">
        <f>IF(AND(BASE_DE_DADOS[[#This Row],[EM]]="FEITO",BASE_DE_DADOS[[#This Row],[EF]]="FEITO"), "FEITO", "")</f>
        <v/>
      </c>
      <c r="Q16" s="6"/>
    </row>
    <row r="17" spans="1:17">
      <c r="A17" s="5">
        <v>801</v>
      </c>
      <c r="B17" s="5" t="s">
        <v>30</v>
      </c>
      <c r="C17" s="3">
        <v>2</v>
      </c>
      <c r="D17" s="20" t="str">
        <f>IF(BASE_DE_DADOS[[#This Row],[ELEMENTO]]="ACESSÓRIO", HYPERLINK("P:\00623\Inventor\Acessórios\Fabricados\A" &amp; BASE_DE_DADOS[[#This Row],[CÓD. 006/23]] &amp; "\","A" &amp; BASE_DE_DADOS[[#This Row],[CÓD. 006/23]]), "")</f>
        <v>A801</v>
      </c>
      <c r="E17" s="5" t="s">
        <v>261</v>
      </c>
      <c r="F17" s="5" t="s">
        <v>12</v>
      </c>
      <c r="G17" s="5"/>
      <c r="H17" s="5" t="s">
        <v>29</v>
      </c>
      <c r="I17" s="5" t="s">
        <v>13</v>
      </c>
      <c r="J1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7" s="5"/>
      <c r="L17" s="5" t="s">
        <v>416</v>
      </c>
      <c r="M17" s="5" t="s">
        <v>26</v>
      </c>
      <c r="N1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7" s="6" t="str">
        <f>IF(AND(BASE_DE_DADOS[[#This Row],[EM]]="FEITO",BASE_DE_DADOS[[#This Row],[EF]]="FEITO"), "FEITO", "")</f>
        <v/>
      </c>
      <c r="Q17" s="6"/>
    </row>
    <row r="18" spans="1:17">
      <c r="A18" s="5">
        <v>804</v>
      </c>
      <c r="B18" s="5" t="s">
        <v>32</v>
      </c>
      <c r="C18" s="3">
        <v>1</v>
      </c>
      <c r="D18" s="20" t="str">
        <f>IF(BASE_DE_DADOS[[#This Row],[ELEMENTO]]="ACESSÓRIO", HYPERLINK("P:\00623\Inventor\Acessórios\Fabricados\A" &amp; BASE_DE_DADOS[[#This Row],[CÓD. 006/23]] &amp; "\","A" &amp; BASE_DE_DADOS[[#This Row],[CÓD. 006/23]]), "")</f>
        <v>A804</v>
      </c>
      <c r="E18" s="5" t="s">
        <v>262</v>
      </c>
      <c r="F18" s="5" t="s">
        <v>12</v>
      </c>
      <c r="G18" s="5"/>
      <c r="H18" s="5" t="s">
        <v>31</v>
      </c>
      <c r="I18" s="5" t="s">
        <v>13</v>
      </c>
      <c r="J1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8" s="5"/>
      <c r="L18" s="5" t="s">
        <v>416</v>
      </c>
      <c r="M18" s="5" t="s">
        <v>26</v>
      </c>
      <c r="N1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8" s="6" t="str">
        <f>IF(AND(BASE_DE_DADOS[[#This Row],[EM]]="FEITO",BASE_DE_DADOS[[#This Row],[EF]]="FEITO"), "FEITO", "")</f>
        <v/>
      </c>
      <c r="Q18" s="6"/>
    </row>
    <row r="19" spans="1:17">
      <c r="A19" s="5">
        <v>823</v>
      </c>
      <c r="B19" s="5" t="s">
        <v>33</v>
      </c>
      <c r="C19" s="3">
        <v>2</v>
      </c>
      <c r="D19" s="20" t="str">
        <f>IF(BASE_DE_DADOS[[#This Row],[ELEMENTO]]="ACESSÓRIO", HYPERLINK("P:\00623\Inventor\Acessórios\Fabricados\A" &amp; BASE_DE_DADOS[[#This Row],[CÓD. 006/23]] &amp; "\","A" &amp; BASE_DE_DADOS[[#This Row],[CÓD. 006/23]]), "")</f>
        <v>A823</v>
      </c>
      <c r="E19" s="5" t="s">
        <v>263</v>
      </c>
      <c r="F19" s="5" t="s">
        <v>12</v>
      </c>
      <c r="G19" s="5"/>
      <c r="H19" s="5" t="s">
        <v>31</v>
      </c>
      <c r="I19" s="5" t="s">
        <v>13</v>
      </c>
      <c r="J1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9" s="5"/>
      <c r="L19" s="5" t="s">
        <v>416</v>
      </c>
      <c r="M19" s="5" t="s">
        <v>26</v>
      </c>
      <c r="N1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9" s="6" t="str">
        <f>IF(AND(BASE_DE_DADOS[[#This Row],[EM]]="FEITO",BASE_DE_DADOS[[#This Row],[EF]]="FEITO"), "FEITO", "")</f>
        <v/>
      </c>
      <c r="Q19" s="6"/>
    </row>
    <row r="20" spans="1:17">
      <c r="A20" s="5">
        <v>810</v>
      </c>
      <c r="B20" s="5" t="s">
        <v>35</v>
      </c>
      <c r="C20" s="3">
        <v>7</v>
      </c>
      <c r="D20" s="20" t="str">
        <f>IF(BASE_DE_DADOS[[#This Row],[ELEMENTO]]="ACESSÓRIO", HYPERLINK("P:\00623\Inventor\Acessórios\Fabricados\A" &amp; BASE_DE_DADOS[[#This Row],[CÓD. 006/23]] &amp; "\","A" &amp; BASE_DE_DADOS[[#This Row],[CÓD. 006/23]]), "")</f>
        <v>A810</v>
      </c>
      <c r="E20" s="5" t="s">
        <v>264</v>
      </c>
      <c r="F20" s="5" t="s">
        <v>12</v>
      </c>
      <c r="G20" s="5"/>
      <c r="H20" s="5" t="s">
        <v>34</v>
      </c>
      <c r="I20" s="5" t="s">
        <v>13</v>
      </c>
      <c r="J2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20" s="5"/>
      <c r="L20" s="5" t="s">
        <v>416</v>
      </c>
      <c r="M20" s="5" t="s">
        <v>26</v>
      </c>
      <c r="N2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0" s="6" t="str">
        <f>IF(AND(BASE_DE_DADOS[[#This Row],[EM]]="FEITO",BASE_DE_DADOS[[#This Row],[EF]]="FEITO"), "FEITO", "")</f>
        <v/>
      </c>
      <c r="Q20" s="6"/>
    </row>
    <row r="21" spans="1:17">
      <c r="A21" s="5">
        <v>815</v>
      </c>
      <c r="B21" s="5" t="s">
        <v>36</v>
      </c>
      <c r="C21" s="3">
        <v>2</v>
      </c>
      <c r="D21" s="20" t="str">
        <f>IF(BASE_DE_DADOS[[#This Row],[ELEMENTO]]="ACESSÓRIO", HYPERLINK("P:\00623\Inventor\Acessórios\Fabricados\A" &amp; BASE_DE_DADOS[[#This Row],[CÓD. 006/23]] &amp; "\","A" &amp; BASE_DE_DADOS[[#This Row],[CÓD. 006/23]]), "")</f>
        <v>A815</v>
      </c>
      <c r="E21" s="5" t="s">
        <v>265</v>
      </c>
      <c r="F21" s="5" t="s">
        <v>12</v>
      </c>
      <c r="G21" s="5"/>
      <c r="H21" s="5" t="s">
        <v>29</v>
      </c>
      <c r="I21" s="5" t="s">
        <v>13</v>
      </c>
      <c r="J2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21" s="5"/>
      <c r="L21" s="5" t="s">
        <v>416</v>
      </c>
      <c r="M21" s="5" t="s">
        <v>26</v>
      </c>
      <c r="N2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1" s="6" t="str">
        <f>IF(AND(BASE_DE_DADOS[[#This Row],[EM]]="FEITO",BASE_DE_DADOS[[#This Row],[EF]]="FEITO"), "FEITO", "")</f>
        <v/>
      </c>
      <c r="Q21" s="6"/>
    </row>
    <row r="22" spans="1:17">
      <c r="A22" s="5">
        <v>821</v>
      </c>
      <c r="B22" s="5" t="s">
        <v>38</v>
      </c>
      <c r="C22" s="3">
        <v>3</v>
      </c>
      <c r="D22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22" s="5" t="s">
        <v>266</v>
      </c>
      <c r="F22" s="5" t="s">
        <v>12</v>
      </c>
      <c r="G22" s="42" t="s">
        <v>403</v>
      </c>
      <c r="H22" s="5" t="s">
        <v>37</v>
      </c>
      <c r="I22" s="5" t="s">
        <v>13</v>
      </c>
      <c r="J2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22" s="5"/>
      <c r="L22" s="5" t="s">
        <v>427</v>
      </c>
      <c r="M22" s="5" t="s">
        <v>26</v>
      </c>
      <c r="N22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2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22" s="6" t="str">
        <f>IF(AND(BASE_DE_DADOS[[#This Row],[EM]]="FEITO",BASE_DE_DADOS[[#This Row],[EF]]="FEITO"), "FEITO", "")</f>
        <v/>
      </c>
      <c r="Q22" s="6"/>
    </row>
    <row r="23" spans="1:17">
      <c r="A23" s="5">
        <v>822</v>
      </c>
      <c r="B23" s="5" t="s">
        <v>39</v>
      </c>
      <c r="C23" s="3">
        <v>5</v>
      </c>
      <c r="D23" s="20" t="str">
        <f>IF(BASE_DE_DADOS[[#This Row],[ELEMENTO]]="ACESSÓRIO", HYPERLINK("P:\00623\Inventor\Acessórios\Fabricados\A" &amp; BASE_DE_DADOS[[#This Row],[CÓD. 006/23]] &amp; "\","A" &amp; BASE_DE_DADOS[[#This Row],[CÓD. 006/23]]), "")</f>
        <v>A822</v>
      </c>
      <c r="E23" s="5" t="s">
        <v>267</v>
      </c>
      <c r="F23" s="5" t="s">
        <v>12</v>
      </c>
      <c r="G23" s="5"/>
      <c r="H23" s="5" t="s">
        <v>37</v>
      </c>
      <c r="I23" s="5" t="s">
        <v>13</v>
      </c>
      <c r="J2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3" s="5"/>
      <c r="L23" s="5" t="s">
        <v>416</v>
      </c>
      <c r="M23" s="5" t="s">
        <v>26</v>
      </c>
      <c r="N2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3" s="6" t="str">
        <f>IF(AND(BASE_DE_DADOS[[#This Row],[EM]]="FEITO",BASE_DE_DADOS[[#This Row],[EF]]="FEITO"), "FEITO", "")</f>
        <v/>
      </c>
      <c r="Q23" s="6"/>
    </row>
    <row r="24" spans="1:17">
      <c r="A24" s="5">
        <v>829</v>
      </c>
      <c r="B24" s="5" t="s">
        <v>41</v>
      </c>
      <c r="C24" s="3">
        <v>1</v>
      </c>
      <c r="D24" s="20" t="str">
        <f>IF(BASE_DE_DADOS[[#This Row],[ELEMENTO]]="ACESSÓRIO", HYPERLINK("P:\00623\Inventor\Acessórios\Fabricados\A" &amp; BASE_DE_DADOS[[#This Row],[CÓD. 006/23]] &amp; "\","A" &amp; BASE_DE_DADOS[[#This Row],[CÓD. 006/23]]), "")</f>
        <v>A829</v>
      </c>
      <c r="E24" s="5" t="s">
        <v>268</v>
      </c>
      <c r="F24" s="5" t="s">
        <v>12</v>
      </c>
      <c r="G24" s="5"/>
      <c r="H24" s="5" t="s">
        <v>40</v>
      </c>
      <c r="I24" s="5" t="s">
        <v>13</v>
      </c>
      <c r="J2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4" s="5"/>
      <c r="L24" s="5" t="s">
        <v>416</v>
      </c>
      <c r="M24" s="5" t="s">
        <v>26</v>
      </c>
      <c r="N2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4" s="6" t="str">
        <f>IF(AND(BASE_DE_DADOS[[#This Row],[EM]]="FEITO",BASE_DE_DADOS[[#This Row],[EF]]="FEITO"), "FEITO", "")</f>
        <v/>
      </c>
      <c r="Q24" s="6"/>
    </row>
    <row r="25" spans="1:17">
      <c r="A25" s="5" t="s">
        <v>123</v>
      </c>
      <c r="B25" s="5" t="s">
        <v>124</v>
      </c>
      <c r="C25" s="3">
        <v>5</v>
      </c>
      <c r="D25" s="20" t="str">
        <f>IF(BASE_DE_DADOS[[#This Row],[ELEMENTO]]="ACESSÓRIO", HYPERLINK("P:\00623\Inventor\Acessórios\Fabricados\A" &amp; BASE_DE_DADOS[[#This Row],[CÓD. 006/23]] &amp; "\","A" &amp; BASE_DE_DADOS[[#This Row],[CÓD. 006/23]]), "")</f>
        <v>AG75</v>
      </c>
      <c r="E25" s="5" t="s">
        <v>301</v>
      </c>
      <c r="F25" s="5" t="s">
        <v>12</v>
      </c>
      <c r="G25" s="5"/>
      <c r="H25" s="5"/>
      <c r="I25" s="5" t="s">
        <v>13</v>
      </c>
      <c r="J2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5" s="5"/>
      <c r="L25" s="5" t="s">
        <v>416</v>
      </c>
      <c r="M25" s="5" t="s">
        <v>26</v>
      </c>
      <c r="N2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5" s="6" t="str">
        <f>IF(AND(BASE_DE_DADOS[[#This Row],[EM]]="FEITO",BASE_DE_DADOS[[#This Row],[EF]]="FEITO"), "FEITO", "")</f>
        <v/>
      </c>
      <c r="Q25" s="6"/>
    </row>
    <row r="26" spans="1:17">
      <c r="A26" s="5" t="s">
        <v>138</v>
      </c>
      <c r="B26" s="5" t="s">
        <v>139</v>
      </c>
      <c r="C26" s="3">
        <v>3</v>
      </c>
      <c r="D26" s="20" t="str">
        <f>IF(BASE_DE_DADOS[[#This Row],[ELEMENTO]]="ACESSÓRIO", HYPERLINK("P:\00623\Inventor\Acessórios\Fabricados\A" &amp; BASE_DE_DADOS[[#This Row],[CÓD. 006/23]] &amp; "\","A" &amp; BASE_DE_DADOS[[#This Row],[CÓD. 006/23]]), "")</f>
        <v>AG88</v>
      </c>
      <c r="E26" s="5" t="s">
        <v>309</v>
      </c>
      <c r="F26" s="5" t="s">
        <v>12</v>
      </c>
      <c r="G26" s="5"/>
      <c r="H26" s="5" t="s">
        <v>18</v>
      </c>
      <c r="I26" s="5" t="s">
        <v>13</v>
      </c>
      <c r="J2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6" s="5" t="s">
        <v>13</v>
      </c>
      <c r="L26" s="5" t="s">
        <v>416</v>
      </c>
      <c r="M26" s="5" t="s">
        <v>26</v>
      </c>
      <c r="N2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6" s="6" t="str">
        <f>IF(AND(BASE_DE_DADOS[[#This Row],[EM]]="FEITO",BASE_DE_DADOS[[#This Row],[EF]]="FEITO"), "FEITO", "")</f>
        <v/>
      </c>
      <c r="Q26" s="6"/>
    </row>
    <row r="27" spans="1:17">
      <c r="A27" s="5" t="s">
        <v>140</v>
      </c>
      <c r="B27" s="5" t="s">
        <v>142</v>
      </c>
      <c r="C27" s="3">
        <v>5</v>
      </c>
      <c r="D27" s="20" t="str">
        <f>IF(BASE_DE_DADOS[[#This Row],[ELEMENTO]]="ACESSÓRIO", HYPERLINK("P:\00623\Inventor\Acessórios\Fabricados\A" &amp; BASE_DE_DADOS[[#This Row],[CÓD. 006/23]] &amp; "\","A" &amp; BASE_DE_DADOS[[#This Row],[CÓD. 006/23]]), "")</f>
        <v>AG89</v>
      </c>
      <c r="E27" s="5" t="s">
        <v>310</v>
      </c>
      <c r="F27" s="5" t="s">
        <v>12</v>
      </c>
      <c r="G27" s="5"/>
      <c r="H27" s="5" t="s">
        <v>141</v>
      </c>
      <c r="I27" s="5" t="s">
        <v>13</v>
      </c>
      <c r="J2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7" s="5" t="s">
        <v>13</v>
      </c>
      <c r="L27" s="5" t="s">
        <v>416</v>
      </c>
      <c r="M27" s="5" t="s">
        <v>26</v>
      </c>
      <c r="N2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7" s="6" t="str">
        <f>IF(AND(BASE_DE_DADOS[[#This Row],[EM]]="FEITO",BASE_DE_DADOS[[#This Row],[EF]]="FEITO"), "FEITO", "")</f>
        <v/>
      </c>
      <c r="Q27" s="6"/>
    </row>
    <row r="28" spans="1:17">
      <c r="A28" s="5" t="s">
        <v>143</v>
      </c>
      <c r="B28" s="5" t="s">
        <v>145</v>
      </c>
      <c r="C28" s="3">
        <v>9</v>
      </c>
      <c r="D28" s="20" t="str">
        <f>IF(BASE_DE_DADOS[[#This Row],[ELEMENTO]]="ACESSÓRIO", HYPERLINK("P:\00623\Inventor\Acessórios\Fabricados\A" &amp; BASE_DE_DADOS[[#This Row],[CÓD. 006/23]] &amp; "\","A" &amp; BASE_DE_DADOS[[#This Row],[CÓD. 006/23]]), "")</f>
        <v>AG90</v>
      </c>
      <c r="E28" s="5" t="s">
        <v>311</v>
      </c>
      <c r="F28" s="5" t="s">
        <v>12</v>
      </c>
      <c r="G28" s="5"/>
      <c r="H28" s="5" t="s">
        <v>144</v>
      </c>
      <c r="I28" s="5" t="s">
        <v>13</v>
      </c>
      <c r="J2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8" s="5" t="s">
        <v>13</v>
      </c>
      <c r="L28" s="5" t="s">
        <v>416</v>
      </c>
      <c r="M28" s="5" t="s">
        <v>26</v>
      </c>
      <c r="N2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8" s="6" t="str">
        <f>IF(AND(BASE_DE_DADOS[[#This Row],[EM]]="FEITO",BASE_DE_DADOS[[#This Row],[EF]]="FEITO"), "FEITO", "")</f>
        <v/>
      </c>
      <c r="Q28" s="6"/>
    </row>
    <row r="29" spans="1:17">
      <c r="A29" s="5" t="s">
        <v>146</v>
      </c>
      <c r="B29" s="5" t="s">
        <v>148</v>
      </c>
      <c r="C29" s="3">
        <v>1</v>
      </c>
      <c r="D29" s="20" t="str">
        <f>IF(BASE_DE_DADOS[[#This Row],[ELEMENTO]]="ACESSÓRIO", HYPERLINK("P:\00623\Inventor\Acessórios\Fabricados\A" &amp; BASE_DE_DADOS[[#This Row],[CÓD. 006/23]] &amp; "\","A" &amp; BASE_DE_DADOS[[#This Row],[CÓD. 006/23]]), "")</f>
        <v>AG91</v>
      </c>
      <c r="E29" s="5" t="s">
        <v>312</v>
      </c>
      <c r="F29" s="5" t="s">
        <v>12</v>
      </c>
      <c r="G29" s="5" t="s">
        <v>404</v>
      </c>
      <c r="H29" s="5" t="s">
        <v>147</v>
      </c>
      <c r="I29" s="5" t="s">
        <v>13</v>
      </c>
      <c r="J2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29" s="5" t="s">
        <v>13</v>
      </c>
      <c r="L29" s="5" t="s">
        <v>416</v>
      </c>
      <c r="M29" s="5" t="s">
        <v>26</v>
      </c>
      <c r="N2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2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29" s="6" t="str">
        <f>IF(AND(BASE_DE_DADOS[[#This Row],[EM]]="FEITO",BASE_DE_DADOS[[#This Row],[EF]]="FEITO"), "FEITO", "")</f>
        <v/>
      </c>
      <c r="Q29" s="6"/>
    </row>
    <row r="30" spans="1:17">
      <c r="A30" s="5" t="s">
        <v>149</v>
      </c>
      <c r="B30" s="5" t="s">
        <v>150</v>
      </c>
      <c r="C30" s="3">
        <v>5</v>
      </c>
      <c r="D30" s="20" t="str">
        <f>IF(BASE_DE_DADOS[[#This Row],[ELEMENTO]]="ACESSÓRIO", HYPERLINK("P:\00623\Inventor\Acessórios\Fabricados\A" &amp; BASE_DE_DADOS[[#This Row],[CÓD. 006/23]] &amp; "\","A" &amp; BASE_DE_DADOS[[#This Row],[CÓD. 006/23]]), "")</f>
        <v>AG92</v>
      </c>
      <c r="E30" s="5" t="s">
        <v>313</v>
      </c>
      <c r="F30" s="5" t="s">
        <v>12</v>
      </c>
      <c r="G30" s="5"/>
      <c r="H30" s="5" t="s">
        <v>111</v>
      </c>
      <c r="I30" s="5" t="s">
        <v>13</v>
      </c>
      <c r="J3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0" s="5"/>
      <c r="L30" s="5" t="s">
        <v>416</v>
      </c>
      <c r="M30" s="5" t="s">
        <v>26</v>
      </c>
      <c r="N3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0" s="6" t="str">
        <f>IF(AND(BASE_DE_DADOS[[#This Row],[EM]]="FEITO",BASE_DE_DADOS[[#This Row],[EF]]="FEITO"), "FEITO", "")</f>
        <v/>
      </c>
      <c r="Q30" s="6"/>
    </row>
    <row r="31" spans="1:17">
      <c r="A31" s="5" t="s">
        <v>151</v>
      </c>
      <c r="B31" s="5" t="s">
        <v>152</v>
      </c>
      <c r="C31" s="3">
        <v>14</v>
      </c>
      <c r="D31" s="20" t="str">
        <f>IF(BASE_DE_DADOS[[#This Row],[ELEMENTO]]="ACESSÓRIO", HYPERLINK("P:\00623\Inventor\Acessórios\Fabricados\A" &amp; BASE_DE_DADOS[[#This Row],[CÓD. 006/23]] &amp; "\","A" &amp; BASE_DE_DADOS[[#This Row],[CÓD. 006/23]]), "")</f>
        <v>AG93</v>
      </c>
      <c r="E31" s="5" t="s">
        <v>314</v>
      </c>
      <c r="F31" s="5" t="s">
        <v>12</v>
      </c>
      <c r="G31" s="5"/>
      <c r="H31" s="5" t="s">
        <v>29</v>
      </c>
      <c r="I31" s="5" t="s">
        <v>13</v>
      </c>
      <c r="J3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1" s="5" t="s">
        <v>13</v>
      </c>
      <c r="L31" s="5" t="s">
        <v>416</v>
      </c>
      <c r="M31" s="5" t="s">
        <v>26</v>
      </c>
      <c r="N3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1" s="6" t="str">
        <f>IF(AND(BASE_DE_DADOS[[#This Row],[EM]]="FEITO",BASE_DE_DADOS[[#This Row],[EF]]="FEITO"), "FEITO", "")</f>
        <v/>
      </c>
      <c r="Q31" s="6"/>
    </row>
    <row r="32" spans="1:17">
      <c r="A32" s="5" t="s">
        <v>153</v>
      </c>
      <c r="B32" s="5" t="s">
        <v>154</v>
      </c>
      <c r="C32" s="3">
        <v>2</v>
      </c>
      <c r="D32" s="20" t="str">
        <f>IF(BASE_DE_DADOS[[#This Row],[ELEMENTO]]="ACESSÓRIO", HYPERLINK("P:\00623\Inventor\Acessórios\Fabricados\A" &amp; BASE_DE_DADOS[[#This Row],[CÓD. 006/23]] &amp; "\","A" &amp; BASE_DE_DADOS[[#This Row],[CÓD. 006/23]]), "")</f>
        <v>AG94</v>
      </c>
      <c r="E32" s="5" t="s">
        <v>315</v>
      </c>
      <c r="F32" s="5" t="s">
        <v>12</v>
      </c>
      <c r="G32" s="5" t="s">
        <v>399</v>
      </c>
      <c r="H32" s="5" t="s">
        <v>18</v>
      </c>
      <c r="I32" s="5" t="s">
        <v>13</v>
      </c>
      <c r="J3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2" s="5" t="s">
        <v>13</v>
      </c>
      <c r="L32" s="5" t="s">
        <v>416</v>
      </c>
      <c r="M32" s="5" t="s">
        <v>26</v>
      </c>
      <c r="N3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2" s="6" t="str">
        <f>IF(AND(BASE_DE_DADOS[[#This Row],[EM]]="FEITO",BASE_DE_DADOS[[#This Row],[EF]]="FEITO"), "FEITO", "")</f>
        <v/>
      </c>
      <c r="Q32" s="6"/>
    </row>
    <row r="33" spans="1:17">
      <c r="A33" s="5" t="s">
        <v>155</v>
      </c>
      <c r="B33" s="5" t="s">
        <v>156</v>
      </c>
      <c r="C33" s="3">
        <v>1</v>
      </c>
      <c r="D33" s="20" t="str">
        <f>IF(BASE_DE_DADOS[[#This Row],[ELEMENTO]]="ACESSÓRIO", HYPERLINK("P:\00623\Inventor\Acessórios\Fabricados\A" &amp; BASE_DE_DADOS[[#This Row],[CÓD. 006/23]] &amp; "\","A" &amp; BASE_DE_DADOS[[#This Row],[CÓD. 006/23]]), "")</f>
        <v>AG95</v>
      </c>
      <c r="E33" s="5" t="s">
        <v>316</v>
      </c>
      <c r="F33" s="5" t="s">
        <v>12</v>
      </c>
      <c r="G33" s="5" t="s">
        <v>402</v>
      </c>
      <c r="H33" s="5" t="s">
        <v>93</v>
      </c>
      <c r="I33" s="5" t="s">
        <v>13</v>
      </c>
      <c r="J3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3" s="5"/>
      <c r="L33" s="5" t="s">
        <v>416</v>
      </c>
      <c r="M33" s="5" t="s">
        <v>26</v>
      </c>
      <c r="N3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3" s="6" t="str">
        <f>IF(AND(BASE_DE_DADOS[[#This Row],[EM]]="FEITO",BASE_DE_DADOS[[#This Row],[EF]]="FEITO"), "FEITO", "")</f>
        <v/>
      </c>
      <c r="Q33" s="6"/>
    </row>
    <row r="34" spans="1:17">
      <c r="A34" s="5" t="s">
        <v>157</v>
      </c>
      <c r="B34" s="5" t="s">
        <v>158</v>
      </c>
      <c r="C34" s="3">
        <v>5</v>
      </c>
      <c r="D34" s="20" t="str">
        <f>IF(BASE_DE_DADOS[[#This Row],[ELEMENTO]]="ACESSÓRIO", HYPERLINK("P:\00623\Inventor\Acessórios\Fabricados\A" &amp; BASE_DE_DADOS[[#This Row],[CÓD. 006/23]] &amp; "\","A" &amp; BASE_DE_DADOS[[#This Row],[CÓD. 006/23]]), "")</f>
        <v>AG96</v>
      </c>
      <c r="E34" s="5" t="s">
        <v>317</v>
      </c>
      <c r="F34" s="5" t="s">
        <v>12</v>
      </c>
      <c r="G34" s="5"/>
      <c r="H34" s="5" t="s">
        <v>144</v>
      </c>
      <c r="I34" s="5" t="s">
        <v>13</v>
      </c>
      <c r="J3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4" s="5" t="s">
        <v>13</v>
      </c>
      <c r="L34" s="5" t="s">
        <v>416</v>
      </c>
      <c r="M34" s="5" t="s">
        <v>26</v>
      </c>
      <c r="N3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4" s="6" t="str">
        <f>IF(AND(BASE_DE_DADOS[[#This Row],[EM]]="FEITO",BASE_DE_DADOS[[#This Row],[EF]]="FEITO"), "FEITO", "")</f>
        <v/>
      </c>
      <c r="Q34" s="6"/>
    </row>
    <row r="35" spans="1:17">
      <c r="A35" s="5" t="s">
        <v>159</v>
      </c>
      <c r="B35" s="5" t="s">
        <v>160</v>
      </c>
      <c r="C35" s="3">
        <v>1</v>
      </c>
      <c r="D35" s="20" t="str">
        <f>IF(BASE_DE_DADOS[[#This Row],[ELEMENTO]]="ACESSÓRIO", HYPERLINK("P:\00623\Inventor\Acessórios\Fabricados\A" &amp; BASE_DE_DADOS[[#This Row],[CÓD. 006/23]] &amp; "\","A" &amp; BASE_DE_DADOS[[#This Row],[CÓD. 006/23]]), "")</f>
        <v>AG97</v>
      </c>
      <c r="E35" s="5" t="s">
        <v>318</v>
      </c>
      <c r="F35" s="5" t="s">
        <v>12</v>
      </c>
      <c r="G35" s="5" t="s">
        <v>404</v>
      </c>
      <c r="H35" s="5"/>
      <c r="I35" s="5" t="s">
        <v>13</v>
      </c>
      <c r="J3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5" s="5" t="s">
        <v>13</v>
      </c>
      <c r="L35" s="5" t="s">
        <v>416</v>
      </c>
      <c r="M35" s="5" t="s">
        <v>26</v>
      </c>
      <c r="N3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5" s="6" t="str">
        <f>IF(AND(BASE_DE_DADOS[[#This Row],[EM]]="FEITO",BASE_DE_DADOS[[#This Row],[EF]]="FEITO"), "FEITO", "")</f>
        <v/>
      </c>
      <c r="Q35" s="6"/>
    </row>
    <row r="36" spans="1:17">
      <c r="A36" s="5" t="s">
        <v>161</v>
      </c>
      <c r="B36" s="5" t="s">
        <v>163</v>
      </c>
      <c r="C36" s="3">
        <v>3</v>
      </c>
      <c r="D36" s="20" t="str">
        <f>IF(BASE_DE_DADOS[[#This Row],[ELEMENTO]]="ACESSÓRIO", HYPERLINK("P:\00623\Inventor\Acessórios\Fabricados\A" &amp; BASE_DE_DADOS[[#This Row],[CÓD. 006/23]] &amp; "\","A" &amp; BASE_DE_DADOS[[#This Row],[CÓD. 006/23]]), "")</f>
        <v xml:space="preserve">AG98 </v>
      </c>
      <c r="E36" s="5" t="s">
        <v>319</v>
      </c>
      <c r="F36" s="5" t="s">
        <v>12</v>
      </c>
      <c r="G36" s="5"/>
      <c r="H36" s="5" t="s">
        <v>162</v>
      </c>
      <c r="I36" s="5" t="s">
        <v>13</v>
      </c>
      <c r="J3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36" s="5"/>
      <c r="L36" s="5" t="s">
        <v>416</v>
      </c>
      <c r="M36" s="5" t="s">
        <v>26</v>
      </c>
      <c r="N3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3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36" s="6" t="str">
        <f>IF(AND(BASE_DE_DADOS[[#This Row],[EM]]="FEITO",BASE_DE_DADOS[[#This Row],[EF]]="FEITO"), "FEITO", "")</f>
        <v/>
      </c>
      <c r="Q36" s="6"/>
    </row>
    <row r="37" spans="1:17">
      <c r="A37" s="5" t="s">
        <v>80</v>
      </c>
      <c r="B37" s="5" t="s">
        <v>81</v>
      </c>
      <c r="C37" s="3">
        <v>23</v>
      </c>
      <c r="D37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37" s="5" t="s">
        <v>288</v>
      </c>
      <c r="F37" s="5" t="s">
        <v>12</v>
      </c>
      <c r="G37" s="5" t="s">
        <v>404</v>
      </c>
      <c r="H37" s="5"/>
      <c r="I37" s="5" t="s">
        <v>13</v>
      </c>
      <c r="J3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37" s="5"/>
      <c r="L37" s="5" t="s">
        <v>427</v>
      </c>
      <c r="M37" s="5" t="s">
        <v>14</v>
      </c>
      <c r="N37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3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37" s="6" t="str">
        <f>IF(AND(BASE_DE_DADOS[[#This Row],[EM]]="FEITO",BASE_DE_DADOS[[#This Row],[EF]]="FEITO"), "FEITO", "")</f>
        <v/>
      </c>
      <c r="Q37" s="6"/>
    </row>
    <row r="38" spans="1:17">
      <c r="A38" s="5" t="s">
        <v>82</v>
      </c>
      <c r="B38" s="5" t="s">
        <v>83</v>
      </c>
      <c r="C38" s="3">
        <v>34</v>
      </c>
      <c r="D38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38" s="5" t="s">
        <v>288</v>
      </c>
      <c r="F38" s="5" t="s">
        <v>12</v>
      </c>
      <c r="G38" s="5" t="s">
        <v>404</v>
      </c>
      <c r="H38" s="5"/>
      <c r="I38" s="5" t="s">
        <v>13</v>
      </c>
      <c r="J3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38" s="5"/>
      <c r="L38" s="5" t="s">
        <v>427</v>
      </c>
      <c r="M38" s="5" t="s">
        <v>14</v>
      </c>
      <c r="N38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3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38" s="6" t="str">
        <f>IF(AND(BASE_DE_DADOS[[#This Row],[EM]]="FEITO",BASE_DE_DADOS[[#This Row],[EF]]="FEITO"), "FEITO", "")</f>
        <v/>
      </c>
      <c r="Q38" s="6"/>
    </row>
    <row r="39" spans="1:17">
      <c r="A39" s="5" t="s">
        <v>86</v>
      </c>
      <c r="B39" s="5" t="s">
        <v>87</v>
      </c>
      <c r="C39" s="3">
        <v>9</v>
      </c>
      <c r="D39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39" s="5" t="s">
        <v>288</v>
      </c>
      <c r="F39" s="5" t="s">
        <v>12</v>
      </c>
      <c r="G39" s="5" t="s">
        <v>404</v>
      </c>
      <c r="H39" s="5"/>
      <c r="I39" s="5" t="s">
        <v>13</v>
      </c>
      <c r="J3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39" s="5"/>
      <c r="L39" s="5" t="s">
        <v>427</v>
      </c>
      <c r="M39" s="5" t="s">
        <v>14</v>
      </c>
      <c r="N39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3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39" s="6" t="str">
        <f>IF(AND(BASE_DE_DADOS[[#This Row],[EM]]="FEITO",BASE_DE_DADOS[[#This Row],[EF]]="FEITO"), "FEITO", "")</f>
        <v/>
      </c>
      <c r="Q39" s="6"/>
    </row>
    <row r="40" spans="1:17">
      <c r="A40" s="5" t="s">
        <v>88</v>
      </c>
      <c r="B40" s="5" t="s">
        <v>89</v>
      </c>
      <c r="C40" s="3">
        <v>18</v>
      </c>
      <c r="D40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40" s="5" t="s">
        <v>288</v>
      </c>
      <c r="F40" s="5" t="s">
        <v>12</v>
      </c>
      <c r="G40" s="5" t="s">
        <v>404</v>
      </c>
      <c r="H40" s="5"/>
      <c r="I40" s="5" t="s">
        <v>13</v>
      </c>
      <c r="J4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40" s="5"/>
      <c r="L40" s="5" t="s">
        <v>427</v>
      </c>
      <c r="M40" s="5" t="s">
        <v>14</v>
      </c>
      <c r="N40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4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40" s="6" t="str">
        <f>IF(AND(BASE_DE_DADOS[[#This Row],[EM]]="FEITO",BASE_DE_DADOS[[#This Row],[EF]]="FEITO"), "FEITO", "")</f>
        <v/>
      </c>
      <c r="Q40" s="6"/>
    </row>
    <row r="41" spans="1:17">
      <c r="A41" s="5">
        <v>860</v>
      </c>
      <c r="B41" s="5">
        <v>190</v>
      </c>
      <c r="C41" s="3">
        <v>1</v>
      </c>
      <c r="D41" s="20" t="str">
        <f>IF(BASE_DE_DADOS[[#This Row],[ELEMENTO]]="ACESSÓRIO", HYPERLINK("P:\00623\Inventor\Acessórios\Fabricados\A" &amp; BASE_DE_DADOS[[#This Row],[CÓD. 006/23]] &amp; "\","A" &amp; BASE_DE_DADOS[[#This Row],[CÓD. 006/23]]), "")</f>
        <v>A860</v>
      </c>
      <c r="E41" s="5" t="s">
        <v>269</v>
      </c>
      <c r="F41" s="5" t="s">
        <v>42</v>
      </c>
      <c r="G41" s="5" t="s">
        <v>403</v>
      </c>
      <c r="H41" s="5" t="s">
        <v>37</v>
      </c>
      <c r="I41" s="5" t="s">
        <v>13</v>
      </c>
      <c r="J4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1" s="5"/>
      <c r="L41" s="5" t="s">
        <v>416</v>
      </c>
      <c r="M41" s="5" t="s">
        <v>26</v>
      </c>
      <c r="N4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1" s="6" t="str">
        <f>IF(AND(BASE_DE_DADOS[[#This Row],[EM]]="FEITO",BASE_DE_DADOS[[#This Row],[EF]]="FEITO"), "FEITO", "")</f>
        <v/>
      </c>
      <c r="Q41" s="6"/>
    </row>
    <row r="42" spans="1:17">
      <c r="A42" s="5">
        <v>861</v>
      </c>
      <c r="B42" s="5" t="s">
        <v>43</v>
      </c>
      <c r="C42" s="3">
        <v>1</v>
      </c>
      <c r="D42" s="20" t="str">
        <f>IF(BASE_DE_DADOS[[#This Row],[ELEMENTO]]="ACESSÓRIO", HYPERLINK("P:\00623\Inventor\Acessórios\Fabricados\A" &amp; BASE_DE_DADOS[[#This Row],[CÓD. 006/23]] &amp; "\","A" &amp; BASE_DE_DADOS[[#This Row],[CÓD. 006/23]]), "")</f>
        <v>A861</v>
      </c>
      <c r="E42" s="5" t="s">
        <v>270</v>
      </c>
      <c r="F42" s="5" t="s">
        <v>42</v>
      </c>
      <c r="G42" s="5" t="s">
        <v>403</v>
      </c>
      <c r="H42" s="5" t="s">
        <v>37</v>
      </c>
      <c r="I42" s="5" t="s">
        <v>13</v>
      </c>
      <c r="J4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2" s="5"/>
      <c r="L42" s="5" t="s">
        <v>416</v>
      </c>
      <c r="M42" s="5" t="s">
        <v>26</v>
      </c>
      <c r="N4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2" s="6" t="str">
        <f>IF(AND(BASE_DE_DADOS[[#This Row],[EM]]="FEITO",BASE_DE_DADOS[[#This Row],[EF]]="FEITO"), "FEITO", "")</f>
        <v/>
      </c>
      <c r="Q42" s="6"/>
    </row>
    <row r="43" spans="1:17">
      <c r="A43" s="5">
        <v>927</v>
      </c>
      <c r="B43" s="5" t="s">
        <v>45</v>
      </c>
      <c r="C43" s="3">
        <v>2</v>
      </c>
      <c r="D43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43" s="5" t="s">
        <v>271</v>
      </c>
      <c r="F43" s="5" t="s">
        <v>44</v>
      </c>
      <c r="G43" s="5" t="s">
        <v>403</v>
      </c>
      <c r="H43" s="5" t="s">
        <v>37</v>
      </c>
      <c r="I43" s="5" t="s">
        <v>13</v>
      </c>
      <c r="J4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43" s="5"/>
      <c r="L43" s="5" t="s">
        <v>430</v>
      </c>
      <c r="M43" s="5" t="s">
        <v>26</v>
      </c>
      <c r="N43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4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43" s="6" t="str">
        <f>IF(AND(BASE_DE_DADOS[[#This Row],[EM]]="FEITO",BASE_DE_DADOS[[#This Row],[EF]]="FEITO"), "FEITO", "")</f>
        <v/>
      </c>
      <c r="Q43" s="6"/>
    </row>
    <row r="44" spans="1:17">
      <c r="A44" s="5">
        <v>928</v>
      </c>
      <c r="B44" s="5" t="s">
        <v>46</v>
      </c>
      <c r="C44" s="3">
        <v>1</v>
      </c>
      <c r="D44" s="20" t="str">
        <f>IF(BASE_DE_DADOS[[#This Row],[ELEMENTO]]="ACESSÓRIO", HYPERLINK("P:\00623\Inventor\Acessórios\Fabricados\A" &amp; BASE_DE_DADOS[[#This Row],[CÓD. 006/23]] &amp; "\","A" &amp; BASE_DE_DADOS[[#This Row],[CÓD. 006/23]]), "")</f>
        <v>A928</v>
      </c>
      <c r="E44" s="5" t="s">
        <v>272</v>
      </c>
      <c r="F44" s="5" t="s">
        <v>44</v>
      </c>
      <c r="G44" s="5" t="s">
        <v>403</v>
      </c>
      <c r="H44" s="5" t="s">
        <v>37</v>
      </c>
      <c r="I44" s="5" t="s">
        <v>13</v>
      </c>
      <c r="J4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4" s="5"/>
      <c r="L44" s="5" t="s">
        <v>416</v>
      </c>
      <c r="M44" s="5" t="s">
        <v>26</v>
      </c>
      <c r="N4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4" s="6" t="str">
        <f>IF(AND(BASE_DE_DADOS[[#This Row],[EM]]="FEITO",BASE_DE_DADOS[[#This Row],[EF]]="FEITO"), "FEITO", "")</f>
        <v/>
      </c>
      <c r="Q44" s="6"/>
    </row>
    <row r="45" spans="1:17">
      <c r="A45" s="5">
        <v>929</v>
      </c>
      <c r="B45" s="5" t="s">
        <v>47</v>
      </c>
      <c r="C45" s="3">
        <v>1</v>
      </c>
      <c r="D45" s="20" t="str">
        <f>IF(BASE_DE_DADOS[[#This Row],[ELEMENTO]]="ACESSÓRIO", HYPERLINK("P:\00623\Inventor\Acessórios\Fabricados\A" &amp; BASE_DE_DADOS[[#This Row],[CÓD. 006/23]] &amp; "\","A" &amp; BASE_DE_DADOS[[#This Row],[CÓD. 006/23]]), "")</f>
        <v>A929</v>
      </c>
      <c r="E45" s="5" t="s">
        <v>273</v>
      </c>
      <c r="F45" s="5" t="s">
        <v>44</v>
      </c>
      <c r="G45" s="5" t="s">
        <v>403</v>
      </c>
      <c r="H45" s="5" t="s">
        <v>27</v>
      </c>
      <c r="I45" s="5" t="s">
        <v>13</v>
      </c>
      <c r="J4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5" s="5"/>
      <c r="L45" s="5" t="s">
        <v>416</v>
      </c>
      <c r="M45" s="5" t="s">
        <v>26</v>
      </c>
      <c r="N4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5" s="6" t="str">
        <f>IF(AND(BASE_DE_DADOS[[#This Row],[EM]]="FEITO",BASE_DE_DADOS[[#This Row],[EF]]="FEITO"), "FEITO", "")</f>
        <v/>
      </c>
      <c r="Q45" s="6"/>
    </row>
    <row r="46" spans="1:17">
      <c r="A46" s="5">
        <v>930</v>
      </c>
      <c r="B46" s="5" t="s">
        <v>48</v>
      </c>
      <c r="C46" s="3">
        <v>2</v>
      </c>
      <c r="D46" s="20" t="str">
        <f>IF(BASE_DE_DADOS[[#This Row],[ELEMENTO]]="ACESSÓRIO", HYPERLINK("P:\00623\Inventor\Acessórios\Fabricados\A" &amp; BASE_DE_DADOS[[#This Row],[CÓD. 006/23]] &amp; "\","A" &amp; BASE_DE_DADOS[[#This Row],[CÓD. 006/23]]), "")</f>
        <v>A930</v>
      </c>
      <c r="E46" s="5" t="s">
        <v>274</v>
      </c>
      <c r="F46" s="5" t="s">
        <v>44</v>
      </c>
      <c r="G46" s="5" t="s">
        <v>403</v>
      </c>
      <c r="H46" s="5" t="s">
        <v>27</v>
      </c>
      <c r="I46" s="5" t="s">
        <v>13</v>
      </c>
      <c r="J4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6" s="5"/>
      <c r="L46" s="5" t="s">
        <v>416</v>
      </c>
      <c r="M46" s="5" t="s">
        <v>26</v>
      </c>
      <c r="N4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6" s="6" t="str">
        <f>IF(AND(BASE_DE_DADOS[[#This Row],[EM]]="FEITO",BASE_DE_DADOS[[#This Row],[EF]]="FEITO"), "FEITO", "")</f>
        <v/>
      </c>
      <c r="Q46" s="6"/>
    </row>
    <row r="47" spans="1:17">
      <c r="A47" s="5">
        <v>931</v>
      </c>
      <c r="B47" s="5" t="s">
        <v>49</v>
      </c>
      <c r="C47" s="3">
        <v>1</v>
      </c>
      <c r="D47" s="20" t="str">
        <f>IF(BASE_DE_DADOS[[#This Row],[ELEMENTO]]="ACESSÓRIO", HYPERLINK("P:\00623\Inventor\Acessórios\Fabricados\A" &amp; BASE_DE_DADOS[[#This Row],[CÓD. 006/23]] &amp; "\","A" &amp; BASE_DE_DADOS[[#This Row],[CÓD. 006/23]]), "")</f>
        <v>A931</v>
      </c>
      <c r="E47" s="5" t="s">
        <v>275</v>
      </c>
      <c r="F47" s="5" t="s">
        <v>44</v>
      </c>
      <c r="G47" s="5" t="s">
        <v>403</v>
      </c>
      <c r="H47" s="5" t="s">
        <v>27</v>
      </c>
      <c r="I47" s="5" t="s">
        <v>13</v>
      </c>
      <c r="J4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7" s="5"/>
      <c r="L47" s="5" t="s">
        <v>416</v>
      </c>
      <c r="M47" s="5" t="s">
        <v>26</v>
      </c>
      <c r="N4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7" s="6" t="str">
        <f>IF(AND(BASE_DE_DADOS[[#This Row],[EM]]="FEITO",BASE_DE_DADOS[[#This Row],[EF]]="FEITO"), "FEITO", "")</f>
        <v/>
      </c>
      <c r="Q47" s="6"/>
    </row>
    <row r="48" spans="1:17">
      <c r="A48" s="5">
        <v>932</v>
      </c>
      <c r="B48" s="5" t="s">
        <v>50</v>
      </c>
      <c r="C48" s="3">
        <v>2</v>
      </c>
      <c r="D48" s="20" t="str">
        <f>IF(BASE_DE_DADOS[[#This Row],[ELEMENTO]]="ACESSÓRIO", HYPERLINK("P:\00623\Inventor\Acessórios\Fabricados\A" &amp; BASE_DE_DADOS[[#This Row],[CÓD. 006/23]] &amp; "\","A" &amp; BASE_DE_DADOS[[#This Row],[CÓD. 006/23]]), "")</f>
        <v>A932</v>
      </c>
      <c r="E48" s="5" t="s">
        <v>276</v>
      </c>
      <c r="F48" s="5" t="s">
        <v>44</v>
      </c>
      <c r="G48" s="5" t="s">
        <v>403</v>
      </c>
      <c r="H48" s="5" t="s">
        <v>27</v>
      </c>
      <c r="I48" s="5" t="s">
        <v>13</v>
      </c>
      <c r="J4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48" s="5"/>
      <c r="L48" s="5" t="s">
        <v>416</v>
      </c>
      <c r="M48" s="5" t="s">
        <v>26</v>
      </c>
      <c r="N4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4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48" s="6" t="str">
        <f>IF(AND(BASE_DE_DADOS[[#This Row],[EM]]="FEITO",BASE_DE_DADOS[[#This Row],[EF]]="FEITO"), "FEITO", "")</f>
        <v/>
      </c>
      <c r="Q48" s="6"/>
    </row>
    <row r="49" spans="1:17">
      <c r="A49" s="5" t="s">
        <v>51</v>
      </c>
      <c r="B49" s="5" t="s">
        <v>53</v>
      </c>
      <c r="C49" s="3">
        <v>1</v>
      </c>
      <c r="D49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49" s="5" t="s">
        <v>277</v>
      </c>
      <c r="F49" s="5" t="s">
        <v>52</v>
      </c>
      <c r="G49" s="5" t="s">
        <v>399</v>
      </c>
      <c r="H49" s="5" t="s">
        <v>18</v>
      </c>
      <c r="I49" s="5" t="s">
        <v>13</v>
      </c>
      <c r="J4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49" s="5" t="s">
        <v>13</v>
      </c>
      <c r="L49" s="5" t="s">
        <v>430</v>
      </c>
      <c r="M49" s="5" t="s">
        <v>26</v>
      </c>
      <c r="N49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4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49" s="6" t="str">
        <f>IF(AND(BASE_DE_DADOS[[#This Row],[EM]]="FEITO",BASE_DE_DADOS[[#This Row],[EF]]="FEITO"), "FEITO", "")</f>
        <v/>
      </c>
      <c r="Q49" s="6"/>
    </row>
    <row r="50" spans="1:17">
      <c r="A50" s="5" t="s">
        <v>54</v>
      </c>
      <c r="B50" s="5" t="s">
        <v>55</v>
      </c>
      <c r="C50" s="3">
        <v>1</v>
      </c>
      <c r="D50" s="20" t="str">
        <f>IF(BASE_DE_DADOS[[#This Row],[ELEMENTO]]="ACESSÓRIO", HYPERLINK("P:\00623\Inventor\Acessórios\Fabricados\A" &amp; BASE_DE_DADOS[[#This Row],[CÓD. 006/23]] &amp; "\","A" &amp; BASE_DE_DADOS[[#This Row],[CÓD. 006/23]]), "")</f>
        <v>AA44</v>
      </c>
      <c r="E50" s="5" t="s">
        <v>278</v>
      </c>
      <c r="F50" s="5" t="s">
        <v>52</v>
      </c>
      <c r="G50" s="5" t="s">
        <v>399</v>
      </c>
      <c r="H50" s="5" t="s">
        <v>18</v>
      </c>
      <c r="I50" s="5" t="s">
        <v>13</v>
      </c>
      <c r="J5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0" s="5" t="s">
        <v>13</v>
      </c>
      <c r="L50" s="5" t="s">
        <v>416</v>
      </c>
      <c r="M50" s="5" t="s">
        <v>26</v>
      </c>
      <c r="N5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0" s="6" t="str">
        <f>IF(AND(BASE_DE_DADOS[[#This Row],[EM]]="FEITO",BASE_DE_DADOS[[#This Row],[EF]]="FEITO"), "FEITO", "")</f>
        <v/>
      </c>
      <c r="Q50" s="6"/>
    </row>
    <row r="51" spans="1:17">
      <c r="A51" s="5" t="s">
        <v>56</v>
      </c>
      <c r="B51" s="5" t="s">
        <v>57</v>
      </c>
      <c r="C51" s="3">
        <v>2</v>
      </c>
      <c r="D51" s="20" t="str">
        <f>IF(BASE_DE_DADOS[[#This Row],[ELEMENTO]]="ACESSÓRIO", HYPERLINK("P:\00623\Inventor\Acessórios\Fabricados\A" &amp; BASE_DE_DADOS[[#This Row],[CÓD. 006/23]] &amp; "\","A" &amp; BASE_DE_DADOS[[#This Row],[CÓD. 006/23]]), "")</f>
        <v/>
      </c>
      <c r="E51" s="5" t="s">
        <v>279</v>
      </c>
      <c r="F51" s="5" t="s">
        <v>52</v>
      </c>
      <c r="G51" s="5" t="s">
        <v>399</v>
      </c>
      <c r="H51" s="5" t="s">
        <v>18</v>
      </c>
      <c r="I51" s="5" t="s">
        <v>13</v>
      </c>
      <c r="J5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 xml:space="preserve"> </v>
      </c>
      <c r="K51" s="5" t="s">
        <v>13</v>
      </c>
      <c r="L51" s="5" t="s">
        <v>430</v>
      </c>
      <c r="M51" s="5" t="s">
        <v>26</v>
      </c>
      <c r="N51" t="str">
        <f>IF(BASE_DE_DADOS[[#This Row],[ELEMENTO]]="ACESSÓRIO",IF(EXISTEARQUIVO("P:\00623\Documentos de projeto\05 - Elétrica\Montagem\00623_04_1_1_1_EM_A" &amp;BASE_DE_DADOS[[#This Row],[CÓD. 006/23]] &amp;"*.pdf"), "FEITO", "SEM DOCUMENTO"), " ")</f>
        <v xml:space="preserve"> </v>
      </c>
      <c r="O5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 xml:space="preserve"> </v>
      </c>
      <c r="P51" s="6" t="str">
        <f>IF(AND(BASE_DE_DADOS[[#This Row],[EM]]="FEITO",BASE_DE_DADOS[[#This Row],[EF]]="FEITO"), "FEITO", "")</f>
        <v/>
      </c>
      <c r="Q51" s="6"/>
    </row>
    <row r="52" spans="1:17">
      <c r="A52" s="5" t="s">
        <v>58</v>
      </c>
      <c r="B52" s="5" t="s">
        <v>59</v>
      </c>
      <c r="C52" s="3">
        <v>1</v>
      </c>
      <c r="D52" s="20" t="str">
        <f>IF(BASE_DE_DADOS[[#This Row],[ELEMENTO]]="ACESSÓRIO", HYPERLINK("P:\00623\Inventor\Acessórios\Fabricados\A" &amp; BASE_DE_DADOS[[#This Row],[CÓD. 006/23]] &amp; "\","A" &amp; BASE_DE_DADOS[[#This Row],[CÓD. 006/23]]), "")</f>
        <v>AA47</v>
      </c>
      <c r="E52" s="5" t="s">
        <v>280</v>
      </c>
      <c r="F52" s="5" t="s">
        <v>52</v>
      </c>
      <c r="G52" s="5" t="s">
        <v>404</v>
      </c>
      <c r="H52" s="5" t="s">
        <v>29</v>
      </c>
      <c r="I52" s="5" t="s">
        <v>13</v>
      </c>
      <c r="J5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2" s="5"/>
      <c r="L52" s="5" t="s">
        <v>416</v>
      </c>
      <c r="M52" s="5" t="s">
        <v>26</v>
      </c>
      <c r="N5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2" s="6" t="str">
        <f>IF(AND(BASE_DE_DADOS[[#This Row],[EM]]="FEITO",BASE_DE_DADOS[[#This Row],[EF]]="FEITO"), "FEITO", "")</f>
        <v/>
      </c>
      <c r="Q52" s="6"/>
    </row>
    <row r="53" spans="1:17">
      <c r="A53" s="5" t="s">
        <v>60</v>
      </c>
      <c r="B53" s="5" t="s">
        <v>62</v>
      </c>
      <c r="C53" s="3">
        <v>1</v>
      </c>
      <c r="D53" s="20" t="str">
        <f>IF(BASE_DE_DADOS[[#This Row],[ELEMENTO]]="ACESSÓRIO", HYPERLINK("P:\00623\Inventor\Acessórios\Fabricados\A" &amp; BASE_DE_DADOS[[#This Row],[CÓD. 006/23]] &amp; "\","A" &amp; BASE_DE_DADOS[[#This Row],[CÓD. 006/23]]), "")</f>
        <v>AA49</v>
      </c>
      <c r="E53" s="5" t="s">
        <v>281</v>
      </c>
      <c r="F53" s="5" t="s">
        <v>61</v>
      </c>
      <c r="G53" s="5" t="s">
        <v>404</v>
      </c>
      <c r="H53" s="5" t="s">
        <v>29</v>
      </c>
      <c r="I53" s="5" t="s">
        <v>13</v>
      </c>
      <c r="J5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3" s="5"/>
      <c r="L53" s="5" t="s">
        <v>416</v>
      </c>
      <c r="M53" s="5" t="s">
        <v>26</v>
      </c>
      <c r="N5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3" s="6" t="str">
        <f>IF(AND(BASE_DE_DADOS[[#This Row],[EM]]="FEITO",BASE_DE_DADOS[[#This Row],[EF]]="FEITO"), "FEITO", "")</f>
        <v/>
      </c>
      <c r="Q53" s="6"/>
    </row>
    <row r="54" spans="1:17">
      <c r="A54" s="5" t="s">
        <v>63</v>
      </c>
      <c r="B54" s="5" t="s">
        <v>64</v>
      </c>
      <c r="C54" s="3">
        <v>1</v>
      </c>
      <c r="D54" s="20" t="str">
        <f>IF(BASE_DE_DADOS[[#This Row],[ELEMENTO]]="ACESSÓRIO", HYPERLINK("P:\00623\Inventor\Acessórios\Fabricados\A" &amp; BASE_DE_DADOS[[#This Row],[CÓD. 006/23]] &amp; "\","A" &amp; BASE_DE_DADOS[[#This Row],[CÓD. 006/23]]), "")</f>
        <v>AA50</v>
      </c>
      <c r="E54" s="5" t="s">
        <v>282</v>
      </c>
      <c r="F54" s="5" t="s">
        <v>52</v>
      </c>
      <c r="G54" s="5" t="s">
        <v>404</v>
      </c>
      <c r="H54" s="5" t="s">
        <v>29</v>
      </c>
      <c r="I54" s="5" t="s">
        <v>13</v>
      </c>
      <c r="J5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4" s="5"/>
      <c r="L54" s="5" t="s">
        <v>416</v>
      </c>
      <c r="M54" s="5" t="s">
        <v>26</v>
      </c>
      <c r="N5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4" s="6" t="str">
        <f>IF(AND(BASE_DE_DADOS[[#This Row],[EM]]="FEITO",BASE_DE_DADOS[[#This Row],[EF]]="FEITO"), "FEITO", "")</f>
        <v/>
      </c>
      <c r="Q54" s="6"/>
    </row>
    <row r="55" spans="1:17">
      <c r="A55" s="5" t="s">
        <v>65</v>
      </c>
      <c r="B55" s="5" t="s">
        <v>66</v>
      </c>
      <c r="C55" s="3">
        <v>1</v>
      </c>
      <c r="D55" s="20" t="str">
        <f>IF(BASE_DE_DADOS[[#This Row],[ELEMENTO]]="ACESSÓRIO", HYPERLINK("P:\00623\Inventor\Acessórios\Fabricados\A" &amp; BASE_DE_DADOS[[#This Row],[CÓD. 006/23]] &amp; "\","A" &amp; BASE_DE_DADOS[[#This Row],[CÓD. 006/23]]), "")</f>
        <v>AA51</v>
      </c>
      <c r="E55" s="5" t="s">
        <v>283</v>
      </c>
      <c r="F55" s="5" t="s">
        <v>52</v>
      </c>
      <c r="G55" s="5" t="s">
        <v>404</v>
      </c>
      <c r="H55" s="5" t="s">
        <v>29</v>
      </c>
      <c r="I55" s="5" t="s">
        <v>13</v>
      </c>
      <c r="J5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5" s="5"/>
      <c r="L55" s="5" t="s">
        <v>416</v>
      </c>
      <c r="M55" s="5" t="s">
        <v>26</v>
      </c>
      <c r="N5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5" s="6" t="str">
        <f>IF(AND(BASE_DE_DADOS[[#This Row],[EM]]="FEITO",BASE_DE_DADOS[[#This Row],[EF]]="FEITO"), "FEITO", "")</f>
        <v/>
      </c>
      <c r="Q55" s="6"/>
    </row>
    <row r="56" spans="1:17">
      <c r="A56" s="5" t="s">
        <v>67</v>
      </c>
      <c r="B56" s="5" t="s">
        <v>69</v>
      </c>
      <c r="C56" s="16">
        <v>7</v>
      </c>
      <c r="D56" s="20" t="str">
        <f>IF(BASE_DE_DADOS[[#This Row],[ELEMENTO]]="ACESSÓRIO", HYPERLINK("P:\00623\Inventor\Acessórios\Fabricados\A" &amp; BASE_DE_DADOS[[#This Row],[CÓD. 006/23]] &amp; "\","A" &amp; BASE_DE_DADOS[[#This Row],[CÓD. 006/23]]), "")</f>
        <v>AA57</v>
      </c>
      <c r="E56" s="10" t="s">
        <v>438</v>
      </c>
      <c r="F56" s="5" t="s">
        <v>68</v>
      </c>
      <c r="G56" s="5"/>
      <c r="H56" s="5"/>
      <c r="I56" s="5" t="s">
        <v>13</v>
      </c>
      <c r="J5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6" s="5" t="s">
        <v>13</v>
      </c>
      <c r="L56" s="5" t="s">
        <v>416</v>
      </c>
      <c r="M56" s="5" t="s">
        <v>26</v>
      </c>
      <c r="N5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5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6" s="6" t="str">
        <f>IF(AND(BASE_DE_DADOS[[#This Row],[EM]]="FEITO",BASE_DE_DADOS[[#This Row],[EF]]="FEITO"), "FEITO", "")</f>
        <v>FEITO</v>
      </c>
      <c r="Q56" s="6"/>
    </row>
    <row r="57" spans="1:17">
      <c r="A57" s="5" t="s">
        <v>70</v>
      </c>
      <c r="B57" s="5" t="s">
        <v>72</v>
      </c>
      <c r="C57" s="16">
        <v>4</v>
      </c>
      <c r="D57" s="20" t="str">
        <f>IF(BASE_DE_DADOS[[#This Row],[ELEMENTO]]="ACESSÓRIO", HYPERLINK("P:\00623\Inventor\Acessórios\Fabricados\A" &amp; BASE_DE_DADOS[[#This Row],[CÓD. 006/23]] &amp; "\","A" &amp; BASE_DE_DADOS[[#This Row],[CÓD. 006/23]]), "")</f>
        <v>AA58</v>
      </c>
      <c r="E57" s="10" t="s">
        <v>284</v>
      </c>
      <c r="F57" s="5" t="s">
        <v>68</v>
      </c>
      <c r="G57" s="5"/>
      <c r="H57" s="5"/>
      <c r="I57" s="5" t="s">
        <v>13</v>
      </c>
      <c r="J5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7" s="5"/>
      <c r="L57" s="5" t="s">
        <v>416</v>
      </c>
      <c r="M57" s="5" t="s">
        <v>26</v>
      </c>
      <c r="N5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7" s="6" t="str">
        <f>IF(AND(BASE_DE_DADOS[[#This Row],[EM]]="FEITO",BASE_DE_DADOS[[#This Row],[EF]]="FEITO"), "FEITO", "")</f>
        <v/>
      </c>
      <c r="Q57" s="6"/>
    </row>
    <row r="58" spans="1:17">
      <c r="A58" s="5" t="s">
        <v>73</v>
      </c>
      <c r="B58" s="5" t="s">
        <v>74</v>
      </c>
      <c r="C58" s="17">
        <v>2</v>
      </c>
      <c r="D58" s="20" t="str">
        <f>IF(BASE_DE_DADOS[[#This Row],[ELEMENTO]]="ACESSÓRIO", HYPERLINK("P:\00623\Inventor\Acessórios\Fabricados\A" &amp; BASE_DE_DADOS[[#This Row],[CÓD. 006/23]] &amp; "\","A" &amp; BASE_DE_DADOS[[#This Row],[CÓD. 006/23]]), "")</f>
        <v>AA67</v>
      </c>
      <c r="E58" s="10" t="s">
        <v>285</v>
      </c>
      <c r="F58" s="5" t="s">
        <v>68</v>
      </c>
      <c r="G58" s="5" t="s">
        <v>402</v>
      </c>
      <c r="H58" s="5" t="s">
        <v>27</v>
      </c>
      <c r="I58" s="5" t="s">
        <v>13</v>
      </c>
      <c r="J5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8" s="5"/>
      <c r="L58" s="5" t="s">
        <v>416</v>
      </c>
      <c r="M58" s="5" t="s">
        <v>26</v>
      </c>
      <c r="N5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58" s="6" t="str">
        <f>IF(AND(BASE_DE_DADOS[[#This Row],[EM]]="FEITO",BASE_DE_DADOS[[#This Row],[EF]]="FEITO"), "FEITO", "")</f>
        <v/>
      </c>
      <c r="Q58" s="6"/>
    </row>
    <row r="59" spans="1:17">
      <c r="A59" s="5" t="s">
        <v>75</v>
      </c>
      <c r="B59" s="5" t="s">
        <v>77</v>
      </c>
      <c r="C59" s="3">
        <v>2</v>
      </c>
      <c r="D59" s="20" t="str">
        <f>IF(BASE_DE_DADOS[[#This Row],[ELEMENTO]]="ACESSÓRIO", HYPERLINK("P:\00623\Inventor\Acessórios\Fabricados\A" &amp; BASE_DE_DADOS[[#This Row],[CÓD. 006/23]] &amp; "\","A" &amp; BASE_DE_DADOS[[#This Row],[CÓD. 006/23]]), "")</f>
        <v>AE87</v>
      </c>
      <c r="E59" s="5" t="s">
        <v>286</v>
      </c>
      <c r="F59" s="5" t="s">
        <v>76</v>
      </c>
      <c r="G59" s="5" t="s">
        <v>403</v>
      </c>
      <c r="H59" s="5" t="s">
        <v>27</v>
      </c>
      <c r="I59" s="5" t="s">
        <v>13</v>
      </c>
      <c r="J5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59" s="5" t="s">
        <v>13</v>
      </c>
      <c r="L59" s="5" t="s">
        <v>416</v>
      </c>
      <c r="M59" s="5" t="s">
        <v>26</v>
      </c>
      <c r="N5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5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59" s="6" t="str">
        <f>IF(AND(BASE_DE_DADOS[[#This Row],[EM]]="FEITO",BASE_DE_DADOS[[#This Row],[EF]]="FEITO"), "FEITO", "")</f>
        <v/>
      </c>
      <c r="Q59" s="6"/>
    </row>
    <row r="60" spans="1:17">
      <c r="A60" s="5" t="s">
        <v>78</v>
      </c>
      <c r="B60" s="5" t="s">
        <v>79</v>
      </c>
      <c r="C60" s="16">
        <v>16</v>
      </c>
      <c r="D60" s="20" t="str">
        <f>IF(BASE_DE_DADOS[[#This Row],[ELEMENTO]]="ACESSÓRIO", HYPERLINK("P:\00623\Inventor\Acessórios\Fabricados\A" &amp; BASE_DE_DADOS[[#This Row],[CÓD. 006/23]] &amp; "\","A" &amp; BASE_DE_DADOS[[#This Row],[CÓD. 006/23]]), "")</f>
        <v>AF52</v>
      </c>
      <c r="E60" s="5" t="s">
        <v>287</v>
      </c>
      <c r="F60" s="5" t="s">
        <v>76</v>
      </c>
      <c r="G60" s="5"/>
      <c r="H60" s="5"/>
      <c r="I60" s="5" t="s">
        <v>13</v>
      </c>
      <c r="J6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0" s="5"/>
      <c r="L60" s="5" t="s">
        <v>416</v>
      </c>
      <c r="M60" s="5" t="s">
        <v>26</v>
      </c>
      <c r="N6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6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0" s="6" t="str">
        <f>IF(AND(BASE_DE_DADOS[[#This Row],[EM]]="FEITO",BASE_DE_DADOS[[#This Row],[EF]]="FEITO"), "FEITO", "")</f>
        <v>FEITO</v>
      </c>
      <c r="Q60" s="6"/>
    </row>
    <row r="61" spans="1:17">
      <c r="A61" s="5" t="s">
        <v>433</v>
      </c>
      <c r="B61" s="5" t="s">
        <v>85</v>
      </c>
      <c r="C61" s="3">
        <v>1</v>
      </c>
      <c r="D61" s="20" t="str">
        <f>IF(BASE_DE_DADOS[[#This Row],[ELEMENTO]]="ACESSÓRIO", HYPERLINK("P:\00623\Inventor\Acessórios\Fabricados\A" &amp; BASE_DE_DADOS[[#This Row],[CÓD. 006/23]] &amp; "\","A" &amp; BASE_DE_DADOS[[#This Row],[CÓD. 006/23]]), "")</f>
        <v>AJ44</v>
      </c>
      <c r="E61" s="5" t="s">
        <v>440</v>
      </c>
      <c r="F61" s="5" t="s">
        <v>84</v>
      </c>
      <c r="G61" s="5" t="s">
        <v>403</v>
      </c>
      <c r="H61" s="5" t="s">
        <v>37</v>
      </c>
      <c r="I61" s="5" t="s">
        <v>13</v>
      </c>
      <c r="J6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1" s="5"/>
      <c r="L61" s="5" t="s">
        <v>416</v>
      </c>
      <c r="M61" s="5" t="s">
        <v>26</v>
      </c>
      <c r="N6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1" s="6" t="str">
        <f>IF(AND(BASE_DE_DADOS[[#This Row],[EM]]="FEITO",BASE_DE_DADOS[[#This Row],[EF]]="FEITO"), "FEITO", "")</f>
        <v/>
      </c>
      <c r="Q61" s="6"/>
    </row>
    <row r="62" spans="1:17">
      <c r="A62" s="5" t="s">
        <v>90</v>
      </c>
      <c r="B62" s="5" t="s">
        <v>92</v>
      </c>
      <c r="C62" s="3">
        <v>1</v>
      </c>
      <c r="D62" s="20" t="str">
        <f>IF(BASE_DE_DADOS[[#This Row],[ELEMENTO]]="ACESSÓRIO", HYPERLINK("P:\00623\Inventor\Acessórios\Fabricados\A" &amp; BASE_DE_DADOS[[#This Row],[CÓD. 006/23]] &amp; "\","A" &amp; BASE_DE_DADOS[[#This Row],[CÓD. 006/23]]), "")</f>
        <v>AF62</v>
      </c>
      <c r="E62" s="5" t="s">
        <v>289</v>
      </c>
      <c r="F62" s="5" t="s">
        <v>91</v>
      </c>
      <c r="G62" s="5" t="s">
        <v>404</v>
      </c>
      <c r="H62" s="5" t="s">
        <v>29</v>
      </c>
      <c r="I62" s="5" t="s">
        <v>13</v>
      </c>
      <c r="J6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2" s="5"/>
      <c r="L62" s="5" t="s">
        <v>416</v>
      </c>
      <c r="M62" s="5" t="s">
        <v>26</v>
      </c>
      <c r="N6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2" s="6" t="str">
        <f>IF(AND(BASE_DE_DADOS[[#This Row],[EM]]="FEITO",BASE_DE_DADOS[[#This Row],[EF]]="FEITO"), "FEITO", "")</f>
        <v/>
      </c>
      <c r="Q62" s="6"/>
    </row>
    <row r="63" spans="1:17">
      <c r="A63" s="5" t="s">
        <v>94</v>
      </c>
      <c r="B63" s="5" t="s">
        <v>95</v>
      </c>
      <c r="C63" s="3">
        <v>1</v>
      </c>
      <c r="D63" s="20" t="str">
        <f>IF(BASE_DE_DADOS[[#This Row],[ELEMENTO]]="ACESSÓRIO", HYPERLINK("P:\00623\Inventor\Acessórios\Fabricados\A" &amp; BASE_DE_DADOS[[#This Row],[CÓD. 006/23]] &amp; "\","A" &amp; BASE_DE_DADOS[[#This Row],[CÓD. 006/23]]), "")</f>
        <v>AH95</v>
      </c>
      <c r="E63" s="5" t="s">
        <v>290</v>
      </c>
      <c r="F63" s="5" t="s">
        <v>91</v>
      </c>
      <c r="G63" s="5" t="s">
        <v>402</v>
      </c>
      <c r="H63" s="5" t="s">
        <v>40</v>
      </c>
      <c r="I63" s="5" t="s">
        <v>13</v>
      </c>
      <c r="J6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3" s="5"/>
      <c r="L63" s="5" t="s">
        <v>416</v>
      </c>
      <c r="M63" s="5" t="s">
        <v>26</v>
      </c>
      <c r="N6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63" s="6" t="str">
        <f>IF(AND(BASE_DE_DADOS[[#This Row],[EM]]="FEITO",BASE_DE_DADOS[[#This Row],[EF]]="FEITO"), "FEITO", "")</f>
        <v/>
      </c>
      <c r="Q63" s="6"/>
    </row>
    <row r="64" spans="1:17">
      <c r="A64" s="5" t="s">
        <v>96</v>
      </c>
      <c r="B64" s="5" t="s">
        <v>98</v>
      </c>
      <c r="C64" s="3">
        <v>1</v>
      </c>
      <c r="D64" s="20" t="str">
        <f>IF(BASE_DE_DADOS[[#This Row],[ELEMENTO]]="ACESSÓRIO", HYPERLINK("P:\00623\Inventor\Acessórios\Fabricados\A" &amp; BASE_DE_DADOS[[#This Row],[CÓD. 006/23]] &amp; "\","A" &amp; BASE_DE_DADOS[[#This Row],[CÓD. 006/23]]), "")</f>
        <v>AJ65</v>
      </c>
      <c r="E64" s="5" t="s">
        <v>291</v>
      </c>
      <c r="F64" s="5" t="s">
        <v>97</v>
      </c>
      <c r="G64" s="5" t="s">
        <v>404</v>
      </c>
      <c r="H64" s="5" t="s">
        <v>29</v>
      </c>
      <c r="I64" s="5" t="s">
        <v>13</v>
      </c>
      <c r="J6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4" s="5"/>
      <c r="L64" s="5" t="s">
        <v>416</v>
      </c>
      <c r="M64" s="5" t="s">
        <v>26</v>
      </c>
      <c r="N6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4" s="6" t="str">
        <f>IF(AND(BASE_DE_DADOS[[#This Row],[EM]]="FEITO",BASE_DE_DADOS[[#This Row],[EF]]="FEITO"), "FEITO", "")</f>
        <v/>
      </c>
      <c r="Q64" s="6"/>
    </row>
    <row r="65" spans="1:17">
      <c r="A65" s="5" t="s">
        <v>434</v>
      </c>
      <c r="B65" s="5" t="s">
        <v>442</v>
      </c>
      <c r="C65" s="3">
        <v>1</v>
      </c>
      <c r="D65" s="20" t="str">
        <f>IF(BASE_DE_DADOS[[#This Row],[ELEMENTO]]="ACESSÓRIO", HYPERLINK("P:\00623\Inventor\Acessórios\Fabricados\A" &amp; BASE_DE_DADOS[[#This Row],[CÓD. 006/23]] &amp; "\","A" &amp; BASE_DE_DADOS[[#This Row],[CÓD. 006/23]]), "")</f>
        <v>AM29</v>
      </c>
      <c r="E65" s="5" t="s">
        <v>435</v>
      </c>
      <c r="F65" s="5" t="s">
        <v>91</v>
      </c>
      <c r="G65" s="5" t="s">
        <v>404</v>
      </c>
      <c r="H65" s="5" t="s">
        <v>29</v>
      </c>
      <c r="I65" s="5" t="s">
        <v>13</v>
      </c>
      <c r="J6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5" s="5" t="s">
        <v>13</v>
      </c>
      <c r="L65" s="5" t="s">
        <v>416</v>
      </c>
      <c r="M65" s="5" t="s">
        <v>26</v>
      </c>
      <c r="N6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5" s="6" t="str">
        <f>IF(AND(BASE_DE_DADOS[[#This Row],[EM]]="FEITO",BASE_DE_DADOS[[#This Row],[EF]]="FEITO"), "FEITO", "")</f>
        <v/>
      </c>
      <c r="Q65" s="6"/>
    </row>
    <row r="66" spans="1:17" s="12" customFormat="1">
      <c r="A66" s="5" t="s">
        <v>99</v>
      </c>
      <c r="B66" s="5" t="s">
        <v>101</v>
      </c>
      <c r="C66" s="3">
        <v>1</v>
      </c>
      <c r="D66" s="20" t="str">
        <f>IF(BASE_DE_DADOS[[#This Row],[ELEMENTO]]="ACESSÓRIO", HYPERLINK("P:\00623\Inventor\Acessórios\Fabricados\A" &amp; BASE_DE_DADOS[[#This Row],[CÓD. 006/23]] &amp; "\","A" &amp; BASE_DE_DADOS[[#This Row],[CÓD. 006/23]]), "")</f>
        <v>AG59</v>
      </c>
      <c r="E66" s="5" t="s">
        <v>292</v>
      </c>
      <c r="F66" s="5" t="s">
        <v>100</v>
      </c>
      <c r="G66" s="5" t="s">
        <v>402</v>
      </c>
      <c r="H66" s="5" t="s">
        <v>27</v>
      </c>
      <c r="I66" s="5" t="s">
        <v>13</v>
      </c>
      <c r="J6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6" s="5"/>
      <c r="L66" s="5" t="s">
        <v>416</v>
      </c>
      <c r="M66" s="5" t="s">
        <v>26</v>
      </c>
      <c r="N6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66" s="6" t="str">
        <f>IF(AND(BASE_DE_DADOS[[#This Row],[EM]]="FEITO",BASE_DE_DADOS[[#This Row],[EF]]="FEITO"), "FEITO", "")</f>
        <v/>
      </c>
      <c r="Q66" s="6"/>
    </row>
    <row r="67" spans="1:17">
      <c r="A67" s="10" t="s">
        <v>102</v>
      </c>
      <c r="B67" s="10" t="s">
        <v>103</v>
      </c>
      <c r="C67" s="17">
        <v>1</v>
      </c>
      <c r="D67" s="20" t="str">
        <f>IF(BASE_DE_DADOS[[#This Row],[ELEMENTO]]="ACESSÓRIO", HYPERLINK("P:\00623\Inventor\Acessórios\Fabricados\A" &amp; BASE_DE_DADOS[[#This Row],[CÓD. 006/23]] &amp; "\","A" &amp; BASE_DE_DADOS[[#This Row],[CÓD. 006/23]]), "")</f>
        <v>AG60</v>
      </c>
      <c r="E67" s="10" t="s">
        <v>293</v>
      </c>
      <c r="F67" s="10" t="s">
        <v>61</v>
      </c>
      <c r="G67" s="10" t="s">
        <v>402</v>
      </c>
      <c r="H67" s="10" t="s">
        <v>27</v>
      </c>
      <c r="I67" s="10" t="s">
        <v>13</v>
      </c>
      <c r="J6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7" s="10"/>
      <c r="L67" s="10" t="s">
        <v>416</v>
      </c>
      <c r="M67" s="10" t="s">
        <v>26</v>
      </c>
      <c r="N6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7" s="11" t="str">
        <f>IF(AND(BASE_DE_DADOS[[#This Row],[EM]]="FEITO",BASE_DE_DADOS[[#This Row],[EF]]="FEITO"), "FEITO", "")</f>
        <v/>
      </c>
      <c r="Q67" s="11"/>
    </row>
    <row r="68" spans="1:17">
      <c r="A68" s="5" t="s">
        <v>104</v>
      </c>
      <c r="B68" s="5" t="s">
        <v>106</v>
      </c>
      <c r="C68" s="3">
        <v>1</v>
      </c>
      <c r="D68" s="20" t="str">
        <f>IF(BASE_DE_DADOS[[#This Row],[ELEMENTO]]="ACESSÓRIO", HYPERLINK("P:\00623\Inventor\Acessórios\Fabricados\A" &amp; BASE_DE_DADOS[[#This Row],[CÓD. 006/23]] &amp; "\","A" &amp; BASE_DE_DADOS[[#This Row],[CÓD. 006/23]]), "")</f>
        <v>AG62</v>
      </c>
      <c r="E68" s="5" t="s">
        <v>294</v>
      </c>
      <c r="F68" s="5" t="s">
        <v>91</v>
      </c>
      <c r="G68" s="5" t="s">
        <v>400</v>
      </c>
      <c r="H68" s="5" t="s">
        <v>105</v>
      </c>
      <c r="I68" s="5" t="s">
        <v>13</v>
      </c>
      <c r="J6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8" s="5" t="s">
        <v>13</v>
      </c>
      <c r="L68" s="5" t="s">
        <v>416</v>
      </c>
      <c r="M68" s="5" t="s">
        <v>26</v>
      </c>
      <c r="N6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6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8" s="6" t="str">
        <f>IF(AND(BASE_DE_DADOS[[#This Row],[EM]]="FEITO",BASE_DE_DADOS[[#This Row],[EF]]="FEITO"), "FEITO", "")</f>
        <v/>
      </c>
      <c r="Q68" s="6"/>
    </row>
    <row r="69" spans="1:17">
      <c r="A69" s="5" t="s">
        <v>107</v>
      </c>
      <c r="B69" s="5" t="s">
        <v>108</v>
      </c>
      <c r="C69" s="3">
        <v>1</v>
      </c>
      <c r="D69" s="20" t="str">
        <f>IF(BASE_DE_DADOS[[#This Row],[ELEMENTO]]="ACESSÓRIO", HYPERLINK("P:\00623\Inventor\Acessórios\Fabricados\A" &amp; BASE_DE_DADOS[[#This Row],[CÓD. 006/23]] &amp; "\","A" &amp; BASE_DE_DADOS[[#This Row],[CÓD. 006/23]]), "")</f>
        <v>AG63</v>
      </c>
      <c r="E69" s="5" t="s">
        <v>295</v>
      </c>
      <c r="F69" s="5" t="s">
        <v>91</v>
      </c>
      <c r="G69" s="5" t="s">
        <v>399</v>
      </c>
      <c r="H69" s="5" t="s">
        <v>18</v>
      </c>
      <c r="I69" s="5" t="s">
        <v>13</v>
      </c>
      <c r="J6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69" s="5" t="s">
        <v>13</v>
      </c>
      <c r="L69" s="5" t="s">
        <v>416</v>
      </c>
      <c r="M69" s="5" t="s">
        <v>26</v>
      </c>
      <c r="N6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6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69" s="6" t="str">
        <f>IF(AND(BASE_DE_DADOS[[#This Row],[EM]]="FEITO",BASE_DE_DADOS[[#This Row],[EF]]="FEITO"), "FEITO", "")</f>
        <v>FEITO</v>
      </c>
      <c r="Q69" s="6"/>
    </row>
    <row r="70" spans="1:17">
      <c r="A70" s="5" t="s">
        <v>109</v>
      </c>
      <c r="B70" s="5" t="s">
        <v>110</v>
      </c>
      <c r="C70" s="3">
        <v>2</v>
      </c>
      <c r="D70" s="20" t="str">
        <f>IF(BASE_DE_DADOS[[#This Row],[ELEMENTO]]="ACESSÓRIO", HYPERLINK("P:\00623\Inventor\Acessórios\Fabricados\A" &amp; BASE_DE_DADOS[[#This Row],[CÓD. 006/23]] &amp; "\","A" &amp; BASE_DE_DADOS[[#This Row],[CÓD. 006/23]]), "")</f>
        <v>AG64</v>
      </c>
      <c r="E70" s="5" t="s">
        <v>296</v>
      </c>
      <c r="F70" s="5" t="s">
        <v>76</v>
      </c>
      <c r="G70" s="5" t="s">
        <v>402</v>
      </c>
      <c r="H70" s="5" t="s">
        <v>27</v>
      </c>
      <c r="I70" s="5" t="s">
        <v>13</v>
      </c>
      <c r="J7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0" s="5"/>
      <c r="L70" s="5" t="s">
        <v>416</v>
      </c>
      <c r="M70" s="5" t="s">
        <v>26</v>
      </c>
      <c r="N7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0" s="6" t="str">
        <f>IF(AND(BASE_DE_DADOS[[#This Row],[EM]]="FEITO",BASE_DE_DADOS[[#This Row],[EF]]="FEITO"), "FEITO", "")</f>
        <v/>
      </c>
      <c r="Q70" s="6"/>
    </row>
    <row r="71" spans="1:17">
      <c r="A71" s="5" t="s">
        <v>112</v>
      </c>
      <c r="B71" s="5" t="s">
        <v>113</v>
      </c>
      <c r="C71" s="3">
        <v>1</v>
      </c>
      <c r="D71" s="20" t="str">
        <f>IF(BASE_DE_DADOS[[#This Row],[ELEMENTO]]="ACESSÓRIO", HYPERLINK("P:\00623\Inventor\Acessórios\Fabricados\A" &amp; BASE_DE_DADOS[[#This Row],[CÓD. 006/23]] &amp; "\","A" &amp; BASE_DE_DADOS[[#This Row],[CÓD. 006/23]]), "")</f>
        <v>AG66</v>
      </c>
      <c r="E71" s="5" t="s">
        <v>297</v>
      </c>
      <c r="F71" s="5" t="s">
        <v>84</v>
      </c>
      <c r="G71" s="5" t="s">
        <v>402</v>
      </c>
      <c r="H71" s="5" t="s">
        <v>37</v>
      </c>
      <c r="I71" s="5" t="s">
        <v>13</v>
      </c>
      <c r="J7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1" s="5" t="s">
        <v>13</v>
      </c>
      <c r="L71" s="5" t="s">
        <v>416</v>
      </c>
      <c r="M71" s="5" t="s">
        <v>26</v>
      </c>
      <c r="N7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1" s="6" t="str">
        <f>IF(AND(BASE_DE_DADOS[[#This Row],[EM]]="FEITO",BASE_DE_DADOS[[#This Row],[EF]]="FEITO"), "FEITO", "")</f>
        <v/>
      </c>
      <c r="Q71" s="6" t="s">
        <v>114</v>
      </c>
    </row>
    <row r="72" spans="1:17">
      <c r="A72" s="5" t="s">
        <v>115</v>
      </c>
      <c r="B72" s="5" t="s">
        <v>116</v>
      </c>
      <c r="C72" s="3">
        <v>1</v>
      </c>
      <c r="D72" s="20" t="str">
        <f>IF(BASE_DE_DADOS[[#This Row],[ELEMENTO]]="ACESSÓRIO", HYPERLINK("P:\00623\Inventor\Acessórios\Fabricados\A" &amp; BASE_DE_DADOS[[#This Row],[CÓD. 006/23]] &amp; "\","A" &amp; BASE_DE_DADOS[[#This Row],[CÓD. 006/23]]), "")</f>
        <v>AG67</v>
      </c>
      <c r="E72" s="5" t="s">
        <v>298</v>
      </c>
      <c r="F72" s="5" t="s">
        <v>221</v>
      </c>
      <c r="G72" s="5" t="s">
        <v>399</v>
      </c>
      <c r="H72" s="5" t="s">
        <v>18</v>
      </c>
      <c r="I72" s="5" t="s">
        <v>13</v>
      </c>
      <c r="J7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2" s="5" t="s">
        <v>13</v>
      </c>
      <c r="L72" s="5" t="s">
        <v>416</v>
      </c>
      <c r="M72" s="5" t="s">
        <v>26</v>
      </c>
      <c r="N7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7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2" s="6" t="str">
        <f>IF(AND(BASE_DE_DADOS[[#This Row],[EM]]="FEITO",BASE_DE_DADOS[[#This Row],[EF]]="FEITO"), "FEITO", "")</f>
        <v>FEITO</v>
      </c>
      <c r="Q72" s="6"/>
    </row>
    <row r="73" spans="1:17">
      <c r="A73" s="5" t="s">
        <v>117</v>
      </c>
      <c r="B73" s="5" t="s">
        <v>119</v>
      </c>
      <c r="C73" s="3">
        <v>1</v>
      </c>
      <c r="D73" s="20" t="str">
        <f>IF(BASE_DE_DADOS[[#This Row],[ELEMENTO]]="ACESSÓRIO", HYPERLINK("P:\00623\Inventor\Acessórios\Fabricados\A" &amp; BASE_DE_DADOS[[#This Row],[CÓD. 006/23]] &amp; "\","A" &amp; BASE_DE_DADOS[[#This Row],[CÓD. 006/23]]), "")</f>
        <v>AG68</v>
      </c>
      <c r="E73" s="5" t="s">
        <v>299</v>
      </c>
      <c r="F73" s="5" t="s">
        <v>118</v>
      </c>
      <c r="G73" s="5" t="s">
        <v>402</v>
      </c>
      <c r="H73" s="5" t="s">
        <v>111</v>
      </c>
      <c r="I73" s="5" t="s">
        <v>13</v>
      </c>
      <c r="J7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3" s="5" t="s">
        <v>13</v>
      </c>
      <c r="L73" s="5" t="s">
        <v>416</v>
      </c>
      <c r="M73" s="5" t="s">
        <v>26</v>
      </c>
      <c r="N7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73" s="6" t="str">
        <f>IF(AND(BASE_DE_DADOS[[#This Row],[EM]]="FEITO",BASE_DE_DADOS[[#This Row],[EF]]="FEITO"), "FEITO", "")</f>
        <v/>
      </c>
      <c r="Q73" s="6"/>
    </row>
    <row r="74" spans="1:17">
      <c r="A74" s="5" t="s">
        <v>121</v>
      </c>
      <c r="B74" s="5" t="s">
        <v>122</v>
      </c>
      <c r="C74" s="3">
        <v>1</v>
      </c>
      <c r="D74" s="20" t="str">
        <f>IF(BASE_DE_DADOS[[#This Row],[ELEMENTO]]="ACESSÓRIO", HYPERLINK("P:\00623\Inventor\Acessórios\Fabricados\A" &amp; BASE_DE_DADOS[[#This Row],[CÓD. 006/23]] &amp; "\","A" &amp; BASE_DE_DADOS[[#This Row],[CÓD. 006/23]]), "")</f>
        <v>AG74</v>
      </c>
      <c r="E74" s="5" t="s">
        <v>300</v>
      </c>
      <c r="F74" s="5" t="s">
        <v>97</v>
      </c>
      <c r="G74" s="5" t="s">
        <v>403</v>
      </c>
      <c r="H74" s="5" t="s">
        <v>34</v>
      </c>
      <c r="I74" s="5" t="s">
        <v>13</v>
      </c>
      <c r="J7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4" s="5"/>
      <c r="L74" s="5" t="s">
        <v>416</v>
      </c>
      <c r="M74" s="5" t="s">
        <v>26</v>
      </c>
      <c r="N7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74" s="6" t="str">
        <f>IF(AND(BASE_DE_DADOS[[#This Row],[EM]]="FEITO",BASE_DE_DADOS[[#This Row],[EF]]="FEITO"), "FEITO", "")</f>
        <v/>
      </c>
      <c r="Q74" s="6"/>
    </row>
    <row r="75" spans="1:17">
      <c r="A75" s="5" t="s">
        <v>125</v>
      </c>
      <c r="B75" s="5" t="s">
        <v>126</v>
      </c>
      <c r="C75" s="3">
        <v>2</v>
      </c>
      <c r="D75" s="20" t="str">
        <f>IF(BASE_DE_DADOS[[#This Row],[ELEMENTO]]="ACESSÓRIO", HYPERLINK("P:\00623\Inventor\Acessórios\Fabricados\A" &amp; BASE_DE_DADOS[[#This Row],[CÓD. 006/23]] &amp; "\","A" &amp; BASE_DE_DADOS[[#This Row],[CÓD. 006/23]]), "")</f>
        <v>AG76</v>
      </c>
      <c r="E75" s="5" t="s">
        <v>302</v>
      </c>
      <c r="F75" s="5" t="s">
        <v>76</v>
      </c>
      <c r="G75" s="5" t="s">
        <v>403</v>
      </c>
      <c r="H75" s="5" t="s">
        <v>27</v>
      </c>
      <c r="I75" s="5" t="s">
        <v>13</v>
      </c>
      <c r="J7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5" s="5" t="s">
        <v>13</v>
      </c>
      <c r="L75" s="5" t="s">
        <v>416</v>
      </c>
      <c r="M75" s="5" t="s">
        <v>26</v>
      </c>
      <c r="N7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5" s="6" t="str">
        <f>IF(AND(BASE_DE_DADOS[[#This Row],[EM]]="FEITO",BASE_DE_DADOS[[#This Row],[EF]]="FEITO"), "FEITO", "")</f>
        <v/>
      </c>
      <c r="Q75" s="6"/>
    </row>
    <row r="76" spans="1:17">
      <c r="A76" s="5" t="s">
        <v>127</v>
      </c>
      <c r="B76" s="5" t="s">
        <v>128</v>
      </c>
      <c r="C76" s="3">
        <v>3</v>
      </c>
      <c r="D76" s="20" t="str">
        <f>IF(BASE_DE_DADOS[[#This Row],[ELEMENTO]]="ACESSÓRIO", HYPERLINK("P:\00623\Inventor\Acessórios\Fabricados\A" &amp; BASE_DE_DADOS[[#This Row],[CÓD. 006/23]] &amp; "\","A" &amp; BASE_DE_DADOS[[#This Row],[CÓD. 006/23]]), "")</f>
        <v>AG77</v>
      </c>
      <c r="E76" s="5" t="s">
        <v>303</v>
      </c>
      <c r="F76" s="5" t="s">
        <v>76</v>
      </c>
      <c r="G76" s="5" t="s">
        <v>403</v>
      </c>
      <c r="H76" s="5" t="s">
        <v>37</v>
      </c>
      <c r="I76" s="5" t="s">
        <v>13</v>
      </c>
      <c r="J7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6" s="5" t="s">
        <v>13</v>
      </c>
      <c r="L76" s="5" t="s">
        <v>416</v>
      </c>
      <c r="M76" s="5" t="s">
        <v>26</v>
      </c>
      <c r="N7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6" s="6" t="str">
        <f>IF(AND(BASE_DE_DADOS[[#This Row],[EM]]="FEITO",BASE_DE_DADOS[[#This Row],[EF]]="FEITO"), "FEITO", "")</f>
        <v/>
      </c>
      <c r="Q76" s="6"/>
    </row>
    <row r="77" spans="1:17" s="15" customFormat="1">
      <c r="A77" s="5" t="s">
        <v>129</v>
      </c>
      <c r="B77" s="5" t="s">
        <v>130</v>
      </c>
      <c r="C77" s="3">
        <v>4</v>
      </c>
      <c r="D77" s="20" t="str">
        <f>IF(BASE_DE_DADOS[[#This Row],[ELEMENTO]]="ACESSÓRIO", HYPERLINK("P:\00623\Inventor\Acessórios\Fabricados\A" &amp; BASE_DE_DADOS[[#This Row],[CÓD. 006/23]] &amp; "\","A" &amp; BASE_DE_DADOS[[#This Row],[CÓD. 006/23]]), "")</f>
        <v>AG82</v>
      </c>
      <c r="E77" s="5" t="s">
        <v>304</v>
      </c>
      <c r="F77" s="5" t="s">
        <v>76</v>
      </c>
      <c r="G77" s="5" t="s">
        <v>402</v>
      </c>
      <c r="H77" s="5" t="s">
        <v>111</v>
      </c>
      <c r="I77" s="5" t="s">
        <v>13</v>
      </c>
      <c r="J7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7" s="5"/>
      <c r="L77" s="5" t="s">
        <v>416</v>
      </c>
      <c r="M77" s="5" t="s">
        <v>26</v>
      </c>
      <c r="N7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7" s="6" t="str">
        <f>IF(AND(BASE_DE_DADOS[[#This Row],[EM]]="FEITO",BASE_DE_DADOS[[#This Row],[EF]]="FEITO"), "FEITO", "")</f>
        <v/>
      </c>
      <c r="Q77" s="6"/>
    </row>
    <row r="78" spans="1:17">
      <c r="A78" s="13" t="s">
        <v>131</v>
      </c>
      <c r="B78" s="13" t="s">
        <v>132</v>
      </c>
      <c r="C78" s="18">
        <v>1</v>
      </c>
      <c r="D78" s="20" t="str">
        <f>IF(BASE_DE_DADOS[[#This Row],[ELEMENTO]]="ACESSÓRIO", HYPERLINK("P:\00623\Inventor\Acessórios\Fabricados\A" &amp; BASE_DE_DADOS[[#This Row],[CÓD. 006/23]] &amp; "\","A" &amp; BASE_DE_DADOS[[#This Row],[CÓD. 006/23]]), "")</f>
        <v>AG84</v>
      </c>
      <c r="E78" s="13" t="s">
        <v>305</v>
      </c>
      <c r="F78" s="13" t="s">
        <v>91</v>
      </c>
      <c r="G78" s="13" t="s">
        <v>400</v>
      </c>
      <c r="H78" s="13" t="s">
        <v>29</v>
      </c>
      <c r="I78" s="13" t="s">
        <v>13</v>
      </c>
      <c r="J7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8" s="13"/>
      <c r="L78" s="13" t="s">
        <v>416</v>
      </c>
      <c r="M78" s="13" t="s">
        <v>26</v>
      </c>
      <c r="N7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7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78" s="14" t="str">
        <f>IF(AND(BASE_DE_DADOS[[#This Row],[EM]]="FEITO",BASE_DE_DADOS[[#This Row],[EF]]="FEITO"), "FEITO", "")</f>
        <v/>
      </c>
      <c r="Q78" s="14"/>
    </row>
    <row r="79" spans="1:17">
      <c r="A79" s="5" t="s">
        <v>133</v>
      </c>
      <c r="B79" s="5" t="s">
        <v>112</v>
      </c>
      <c r="C79" s="3">
        <v>1</v>
      </c>
      <c r="D79" s="20" t="str">
        <f>IF(BASE_DE_DADOS[[#This Row],[ELEMENTO]]="ACESSÓRIO", HYPERLINK("P:\00623\Inventor\Acessórios\Fabricados\A" &amp; BASE_DE_DADOS[[#This Row],[CÓD. 006/23]] &amp; "\","A" &amp; BASE_DE_DADOS[[#This Row],[CÓD. 006/23]]), "")</f>
        <v>AG85</v>
      </c>
      <c r="E79" s="5" t="s">
        <v>306</v>
      </c>
      <c r="F79" s="5" t="s">
        <v>134</v>
      </c>
      <c r="G79" s="5" t="s">
        <v>399</v>
      </c>
      <c r="H79" s="5" t="s">
        <v>18</v>
      </c>
      <c r="I79" s="5" t="s">
        <v>13</v>
      </c>
      <c r="J7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79" s="5" t="s">
        <v>13</v>
      </c>
      <c r="L79" s="5" t="s">
        <v>416</v>
      </c>
      <c r="M79" s="5" t="s">
        <v>26</v>
      </c>
      <c r="N7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7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79" s="6" t="str">
        <f>IF(AND(BASE_DE_DADOS[[#This Row],[EM]]="FEITO",BASE_DE_DADOS[[#This Row],[EF]]="FEITO"), "FEITO", "")</f>
        <v>FEITO</v>
      </c>
      <c r="Q79" s="6"/>
    </row>
    <row r="80" spans="1:17">
      <c r="A80" s="5" t="s">
        <v>135</v>
      </c>
      <c r="B80" s="5" t="s">
        <v>109</v>
      </c>
      <c r="C80" s="3">
        <v>1</v>
      </c>
      <c r="D80" s="20" t="str">
        <f>IF(BASE_DE_DADOS[[#This Row],[ELEMENTO]]="ACESSÓRIO", HYPERLINK("P:\00623\Inventor\Acessórios\Fabricados\A" &amp; BASE_DE_DADOS[[#This Row],[CÓD. 006/23]] &amp; "\","A" &amp; BASE_DE_DADOS[[#This Row],[CÓD. 006/23]]), "")</f>
        <v>AG86</v>
      </c>
      <c r="E80" s="5" t="s">
        <v>307</v>
      </c>
      <c r="F80" s="5" t="s">
        <v>372</v>
      </c>
      <c r="G80" s="5" t="s">
        <v>400</v>
      </c>
      <c r="H80" s="5" t="s">
        <v>105</v>
      </c>
      <c r="I80" s="5" t="s">
        <v>13</v>
      </c>
      <c r="J8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0" s="5" t="s">
        <v>13</v>
      </c>
      <c r="L80" s="5" t="s">
        <v>416</v>
      </c>
      <c r="M80" s="5" t="s">
        <v>26</v>
      </c>
      <c r="N8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0" s="6" t="str">
        <f>IF(AND(BASE_DE_DADOS[[#This Row],[EM]]="FEITO",BASE_DE_DADOS[[#This Row],[EF]]="FEITO"), "FEITO", "")</f>
        <v/>
      </c>
      <c r="Q80" s="6"/>
    </row>
    <row r="81" spans="1:17">
      <c r="A81" s="5" t="s">
        <v>136</v>
      </c>
      <c r="B81" s="5" t="s">
        <v>137</v>
      </c>
      <c r="C81" s="3">
        <v>1</v>
      </c>
      <c r="D81" s="20" t="str">
        <f>IF(BASE_DE_DADOS[[#This Row],[ELEMENTO]]="ACESSÓRIO", HYPERLINK("P:\00623\Inventor\Acessórios\Fabricados\A" &amp; BASE_DE_DADOS[[#This Row],[CÓD. 006/23]] &amp; "\","A" &amp; BASE_DE_DADOS[[#This Row],[CÓD. 006/23]]), "")</f>
        <v>AG87</v>
      </c>
      <c r="E81" s="5" t="s">
        <v>308</v>
      </c>
      <c r="F81" s="5" t="s">
        <v>372</v>
      </c>
      <c r="G81" s="5" t="s">
        <v>404</v>
      </c>
      <c r="H81" s="5" t="s">
        <v>29</v>
      </c>
      <c r="I81" s="5" t="s">
        <v>13</v>
      </c>
      <c r="J8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1" s="5"/>
      <c r="L81" s="5" t="s">
        <v>416</v>
      </c>
      <c r="M81" s="5" t="s">
        <v>26</v>
      </c>
      <c r="N8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1" s="6" t="str">
        <f>IF(AND(BASE_DE_DADOS[[#This Row],[EM]]="FEITO",BASE_DE_DADOS[[#This Row],[EF]]="FEITO"), "FEITO", "")</f>
        <v/>
      </c>
      <c r="Q81" s="6"/>
    </row>
    <row r="82" spans="1:17">
      <c r="A82" s="5" t="s">
        <v>164</v>
      </c>
      <c r="B82" s="5" t="s">
        <v>165</v>
      </c>
      <c r="C82" s="3">
        <v>1</v>
      </c>
      <c r="D82" s="20" t="str">
        <f>IF(BASE_DE_DADOS[[#This Row],[ELEMENTO]]="ACESSÓRIO", HYPERLINK("P:\00623\Inventor\Acessórios\Fabricados\A" &amp; BASE_DE_DADOS[[#This Row],[CÓD. 006/23]] &amp; "\","A" &amp; BASE_DE_DADOS[[#This Row],[CÓD. 006/23]]), "")</f>
        <v>AG99</v>
      </c>
      <c r="E82" s="5" t="s">
        <v>320</v>
      </c>
      <c r="F82" s="5" t="s">
        <v>84</v>
      </c>
      <c r="G82" s="5" t="s">
        <v>402</v>
      </c>
      <c r="H82" s="5" t="s">
        <v>111</v>
      </c>
      <c r="I82" s="5" t="s">
        <v>13</v>
      </c>
      <c r="J8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2" s="5"/>
      <c r="L82" s="5" t="s">
        <v>416</v>
      </c>
      <c r="M82" s="5" t="s">
        <v>26</v>
      </c>
      <c r="N8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2" s="6" t="str">
        <f>IF(AND(BASE_DE_DADOS[[#This Row],[EM]]="FEITO",BASE_DE_DADOS[[#This Row],[EF]]="FEITO"), "FEITO", "")</f>
        <v/>
      </c>
      <c r="Q82" s="6"/>
    </row>
    <row r="83" spans="1:17">
      <c r="A83" s="5" t="s">
        <v>166</v>
      </c>
      <c r="B83" s="5" t="s">
        <v>167</v>
      </c>
      <c r="C83" s="3">
        <v>1</v>
      </c>
      <c r="D83" s="20" t="str">
        <f>IF(BASE_DE_DADOS[[#This Row],[ELEMENTO]]="ACESSÓRIO", HYPERLINK("P:\00623\Inventor\Acessórios\Fabricados\A" &amp; BASE_DE_DADOS[[#This Row],[CÓD. 006/23]] &amp; "\","A" &amp; BASE_DE_DADOS[[#This Row],[CÓD. 006/23]]), "")</f>
        <v>AH03</v>
      </c>
      <c r="E83" s="5" t="s">
        <v>321</v>
      </c>
      <c r="F83" s="5" t="s">
        <v>221</v>
      </c>
      <c r="G83" s="5" t="s">
        <v>403</v>
      </c>
      <c r="H83" s="5" t="s">
        <v>37</v>
      </c>
      <c r="I83" s="5" t="s">
        <v>13</v>
      </c>
      <c r="J8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3" s="5"/>
      <c r="L83" s="5" t="s">
        <v>416</v>
      </c>
      <c r="M83" s="5" t="s">
        <v>26</v>
      </c>
      <c r="N8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83" s="6" t="str">
        <f>IF(AND(BASE_DE_DADOS[[#This Row],[EM]]="FEITO",BASE_DE_DADOS[[#This Row],[EF]]="FEITO"), "FEITO", "")</f>
        <v/>
      </c>
      <c r="Q83" s="6"/>
    </row>
    <row r="84" spans="1:17">
      <c r="A84" s="5" t="s">
        <v>168</v>
      </c>
      <c r="B84" s="5" t="s">
        <v>169</v>
      </c>
      <c r="C84" s="3">
        <v>3</v>
      </c>
      <c r="D84" s="20" t="str">
        <f>IF(BASE_DE_DADOS[[#This Row],[ELEMENTO]]="ACESSÓRIO", HYPERLINK("P:\00623\Inventor\Acessórios\Fabricados\A" &amp; BASE_DE_DADOS[[#This Row],[CÓD. 006/23]] &amp; "\","A" &amp; BASE_DE_DADOS[[#This Row],[CÓD. 006/23]]), "")</f>
        <v>AH04</v>
      </c>
      <c r="E84" s="5" t="s">
        <v>436</v>
      </c>
      <c r="F84" s="5" t="s">
        <v>61</v>
      </c>
      <c r="G84" s="5" t="s">
        <v>404</v>
      </c>
      <c r="H84" s="5" t="s">
        <v>29</v>
      </c>
      <c r="I84" s="5" t="s">
        <v>13</v>
      </c>
      <c r="J8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4" s="5"/>
      <c r="L84" s="5" t="s">
        <v>416</v>
      </c>
      <c r="M84" s="5" t="s">
        <v>26</v>
      </c>
      <c r="N8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4" s="6" t="str">
        <f>IF(AND(BASE_DE_DADOS[[#This Row],[EM]]="FEITO",BASE_DE_DADOS[[#This Row],[EF]]="FEITO"), "FEITO", "")</f>
        <v/>
      </c>
      <c r="Q84" s="6"/>
    </row>
    <row r="85" spans="1:17">
      <c r="A85" s="5" t="s">
        <v>170</v>
      </c>
      <c r="B85" s="5" t="s">
        <v>99</v>
      </c>
      <c r="C85" s="3">
        <v>2</v>
      </c>
      <c r="D85" s="20" t="str">
        <f>IF(BASE_DE_DADOS[[#This Row],[ELEMENTO]]="ACESSÓRIO", HYPERLINK("P:\00623\Inventor\Acessórios\Fabricados\A" &amp; BASE_DE_DADOS[[#This Row],[CÓD. 006/23]] &amp; "\","A" &amp; BASE_DE_DADOS[[#This Row],[CÓD. 006/23]]), "")</f>
        <v>AH06</v>
      </c>
      <c r="E85" s="5" t="s">
        <v>322</v>
      </c>
      <c r="F85" s="5" t="s">
        <v>61</v>
      </c>
      <c r="G85" s="5" t="s">
        <v>404</v>
      </c>
      <c r="H85" s="5" t="s">
        <v>29</v>
      </c>
      <c r="I85" s="5" t="s">
        <v>13</v>
      </c>
      <c r="J8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5" s="5"/>
      <c r="L85" s="5" t="s">
        <v>416</v>
      </c>
      <c r="M85" s="5" t="s">
        <v>26</v>
      </c>
      <c r="N8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85" s="6" t="str">
        <f>IF(AND(BASE_DE_DADOS[[#This Row],[EM]]="FEITO",BASE_DE_DADOS[[#This Row],[EF]]="FEITO"), "FEITO", "")</f>
        <v/>
      </c>
      <c r="Q85" s="6"/>
    </row>
    <row r="86" spans="1:17">
      <c r="A86" s="5" t="s">
        <v>171</v>
      </c>
      <c r="B86" s="5" t="s">
        <v>172</v>
      </c>
      <c r="C86" s="3">
        <v>1</v>
      </c>
      <c r="D86" s="20" t="str">
        <f>IF(BASE_DE_DADOS[[#This Row],[ELEMENTO]]="ACESSÓRIO", HYPERLINK("P:\00623\Inventor\Acessórios\Fabricados\A" &amp; BASE_DE_DADOS[[#This Row],[CÓD. 006/23]] &amp; "\","A" &amp; BASE_DE_DADOS[[#This Row],[CÓD. 006/23]]), "")</f>
        <v>AH07</v>
      </c>
      <c r="E86" s="5" t="s">
        <v>323</v>
      </c>
      <c r="F86" s="5" t="s">
        <v>61</v>
      </c>
      <c r="G86" s="5" t="s">
        <v>402</v>
      </c>
      <c r="H86" s="5" t="s">
        <v>111</v>
      </c>
      <c r="I86" s="5" t="s">
        <v>13</v>
      </c>
      <c r="J8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6" s="5"/>
      <c r="L86" s="5" t="s">
        <v>416</v>
      </c>
      <c r="M86" s="5" t="s">
        <v>26</v>
      </c>
      <c r="N8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6" s="6" t="str">
        <f>IF(AND(BASE_DE_DADOS[[#This Row],[EM]]="FEITO",BASE_DE_DADOS[[#This Row],[EF]]="FEITO"), "FEITO", "")</f>
        <v/>
      </c>
      <c r="Q86" s="6"/>
    </row>
    <row r="87" spans="1:17">
      <c r="A87" s="5" t="s">
        <v>173</v>
      </c>
      <c r="B87" s="5" t="s">
        <v>174</v>
      </c>
      <c r="C87" s="3">
        <v>1</v>
      </c>
      <c r="D87" s="20" t="str">
        <f>IF(BASE_DE_DADOS[[#This Row],[ELEMENTO]]="ACESSÓRIO", HYPERLINK("P:\00623\Inventor\Acessórios\Fabricados\A" &amp; BASE_DE_DADOS[[#This Row],[CÓD. 006/23]] &amp; "\","A" &amp; BASE_DE_DADOS[[#This Row],[CÓD. 006/23]]), "")</f>
        <v>AH08</v>
      </c>
      <c r="E87" s="5" t="s">
        <v>324</v>
      </c>
      <c r="F87" s="5" t="s">
        <v>97</v>
      </c>
      <c r="G87" s="5" t="s">
        <v>403</v>
      </c>
      <c r="H87" s="5" t="s">
        <v>34</v>
      </c>
      <c r="I87" s="5" t="s">
        <v>13</v>
      </c>
      <c r="J8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87" s="5"/>
      <c r="L87" s="5" t="s">
        <v>416</v>
      </c>
      <c r="M87" s="5" t="s">
        <v>26</v>
      </c>
      <c r="N8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7" s="6" t="str">
        <f>IF(AND(BASE_DE_DADOS[[#This Row],[EM]]="FEITO",BASE_DE_DADOS[[#This Row],[EF]]="FEITO"), "FEITO", "")</f>
        <v/>
      </c>
      <c r="Q87" s="6"/>
    </row>
    <row r="88" spans="1:17">
      <c r="A88" s="5" t="s">
        <v>175</v>
      </c>
      <c r="B88" s="5" t="s">
        <v>176</v>
      </c>
      <c r="C88" s="3">
        <v>1</v>
      </c>
      <c r="D88" s="20" t="str">
        <f>IF(BASE_DE_DADOS[[#This Row],[ELEMENTO]]="ACESSÓRIO", HYPERLINK("P:\00623\Inventor\Acessórios\Fabricados\A" &amp; BASE_DE_DADOS[[#This Row],[CÓD. 006/23]] &amp; "\","A" &amp; BASE_DE_DADOS[[#This Row],[CÓD. 006/23]]), "")</f>
        <v>AH09</v>
      </c>
      <c r="E88" s="5" t="s">
        <v>325</v>
      </c>
      <c r="F88" s="5" t="s">
        <v>97</v>
      </c>
      <c r="G88" s="5" t="s">
        <v>403</v>
      </c>
      <c r="H88" s="5" t="s">
        <v>34</v>
      </c>
      <c r="I88" s="5" t="s">
        <v>13</v>
      </c>
      <c r="J8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8" s="5"/>
      <c r="L88" s="5" t="s">
        <v>416</v>
      </c>
      <c r="M88" s="5" t="s">
        <v>26</v>
      </c>
      <c r="N8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88" s="6" t="str">
        <f>IF(AND(BASE_DE_DADOS[[#This Row],[EM]]="FEITO",BASE_DE_DADOS[[#This Row],[EF]]="FEITO"), "FEITO", "")</f>
        <v/>
      </c>
      <c r="Q88" s="6"/>
    </row>
    <row r="89" spans="1:17">
      <c r="A89" s="5" t="s">
        <v>177</v>
      </c>
      <c r="B89" s="5" t="s">
        <v>179</v>
      </c>
      <c r="C89" s="3">
        <v>2</v>
      </c>
      <c r="D89" s="20" t="str">
        <f>IF(BASE_DE_DADOS[[#This Row],[ELEMENTO]]="ACESSÓRIO", HYPERLINK("P:\00623\Inventor\Acessórios\Fabricados\A" &amp; BASE_DE_DADOS[[#This Row],[CÓD. 006/23]] &amp; "\","A" &amp; BASE_DE_DADOS[[#This Row],[CÓD. 006/23]]), "")</f>
        <v>AH10</v>
      </c>
      <c r="E89" s="5" t="s">
        <v>326</v>
      </c>
      <c r="F89" s="5" t="s">
        <v>178</v>
      </c>
      <c r="G89" s="5" t="s">
        <v>402</v>
      </c>
      <c r="H89" s="5" t="s">
        <v>27</v>
      </c>
      <c r="I89" s="5" t="s">
        <v>13</v>
      </c>
      <c r="J8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89" s="5"/>
      <c r="L89" s="5" t="s">
        <v>416</v>
      </c>
      <c r="M89" s="5" t="s">
        <v>26</v>
      </c>
      <c r="N8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8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89" s="6" t="str">
        <f>IF(AND(BASE_DE_DADOS[[#This Row],[EM]]="FEITO",BASE_DE_DADOS[[#This Row],[EF]]="FEITO"), "FEITO", "")</f>
        <v/>
      </c>
      <c r="Q89" s="6"/>
    </row>
    <row r="90" spans="1:17">
      <c r="A90" s="5" t="s">
        <v>180</v>
      </c>
      <c r="B90" s="5" t="s">
        <v>181</v>
      </c>
      <c r="C90" s="3">
        <v>1</v>
      </c>
      <c r="D90" s="20" t="str">
        <f>IF(BASE_DE_DADOS[[#This Row],[ELEMENTO]]="ACESSÓRIO", HYPERLINK("P:\00623\Inventor\Acessórios\Fabricados\A" &amp; BASE_DE_DADOS[[#This Row],[CÓD. 006/23]] &amp; "\","A" &amp; BASE_DE_DADOS[[#This Row],[CÓD. 006/23]]), "")</f>
        <v>AH11</v>
      </c>
      <c r="E90" s="5" t="s">
        <v>327</v>
      </c>
      <c r="F90" s="5" t="s">
        <v>178</v>
      </c>
      <c r="G90" s="5" t="s">
        <v>402</v>
      </c>
      <c r="H90" s="5" t="s">
        <v>31</v>
      </c>
      <c r="I90" s="5" t="s">
        <v>13</v>
      </c>
      <c r="J9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0" s="5" t="s">
        <v>13</v>
      </c>
      <c r="L90" s="5" t="s">
        <v>416</v>
      </c>
      <c r="M90" s="5" t="s">
        <v>26</v>
      </c>
      <c r="N9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90" s="6" t="str">
        <f>IF(AND(BASE_DE_DADOS[[#This Row],[EM]]="FEITO",BASE_DE_DADOS[[#This Row],[EF]]="FEITO"), "FEITO", "")</f>
        <v/>
      </c>
      <c r="Q90" s="6"/>
    </row>
    <row r="91" spans="1:17">
      <c r="A91" s="5" t="s">
        <v>182</v>
      </c>
      <c r="B91" s="5" t="s">
        <v>183</v>
      </c>
      <c r="C91" s="3">
        <v>2</v>
      </c>
      <c r="D91" s="20" t="str">
        <f>IF(BASE_DE_DADOS[[#This Row],[ELEMENTO]]="ACESSÓRIO", HYPERLINK("P:\00623\Inventor\Acessórios\Fabricados\A" &amp; BASE_DE_DADOS[[#This Row],[CÓD. 006/23]] &amp; "\","A" &amp; BASE_DE_DADOS[[#This Row],[CÓD. 006/23]]), "")</f>
        <v>AH12</v>
      </c>
      <c r="E91" s="5" t="s">
        <v>328</v>
      </c>
      <c r="F91" s="5" t="s">
        <v>76</v>
      </c>
      <c r="G91" s="5" t="s">
        <v>404</v>
      </c>
      <c r="H91" s="5" t="s">
        <v>29</v>
      </c>
      <c r="I91" s="5" t="s">
        <v>13</v>
      </c>
      <c r="J9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1" s="5"/>
      <c r="L91" s="5" t="s">
        <v>416</v>
      </c>
      <c r="M91" s="5" t="s">
        <v>26</v>
      </c>
      <c r="N9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1" s="6" t="str">
        <f>IF(AND(BASE_DE_DADOS[[#This Row],[EM]]="FEITO",BASE_DE_DADOS[[#This Row],[EF]]="FEITO"), "FEITO", "")</f>
        <v/>
      </c>
      <c r="Q91" s="6"/>
    </row>
    <row r="92" spans="1:17">
      <c r="A92" s="5" t="s">
        <v>184</v>
      </c>
      <c r="B92" s="5" t="s">
        <v>185</v>
      </c>
      <c r="C92" s="3">
        <v>2</v>
      </c>
      <c r="D92" s="20" t="str">
        <f>IF(BASE_DE_DADOS[[#This Row],[ELEMENTO]]="ACESSÓRIO", HYPERLINK("P:\00623\Inventor\Acessórios\Fabricados\A" &amp; BASE_DE_DADOS[[#This Row],[CÓD. 006/23]] &amp; "\","A" &amp; BASE_DE_DADOS[[#This Row],[CÓD. 006/23]]), "")</f>
        <v>AH82</v>
      </c>
      <c r="E92" s="5" t="s">
        <v>329</v>
      </c>
      <c r="F92" s="5" t="s">
        <v>187</v>
      </c>
      <c r="G92" s="5" t="s">
        <v>404</v>
      </c>
      <c r="H92" s="5" t="s">
        <v>29</v>
      </c>
      <c r="I92" s="5" t="s">
        <v>13</v>
      </c>
      <c r="J9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2" s="5"/>
      <c r="L92" s="5" t="s">
        <v>416</v>
      </c>
      <c r="M92" s="5" t="s">
        <v>26</v>
      </c>
      <c r="N9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9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2" s="6" t="str">
        <f>IF(AND(BASE_DE_DADOS[[#This Row],[EM]]="FEITO",BASE_DE_DADOS[[#This Row],[EF]]="FEITO"), "FEITO", "")</f>
        <v>FEITO</v>
      </c>
      <c r="Q92" s="6"/>
    </row>
    <row r="93" spans="1:17">
      <c r="A93" s="5" t="s">
        <v>184</v>
      </c>
      <c r="B93" s="5" t="s">
        <v>185</v>
      </c>
      <c r="C93" s="3">
        <v>1</v>
      </c>
      <c r="D93" s="20" t="str">
        <f>IF(BASE_DE_DADOS[[#This Row],[ELEMENTO]]="ACESSÓRIO", HYPERLINK("P:\00623\Inventor\Acessórios\Fabricados\A" &amp; BASE_DE_DADOS[[#This Row],[CÓD. 006/23]] &amp; "\","A" &amp; BASE_DE_DADOS[[#This Row],[CÓD. 006/23]]), "")</f>
        <v>AH82</v>
      </c>
      <c r="E93" s="5" t="s">
        <v>329</v>
      </c>
      <c r="F93" s="5" t="s">
        <v>187</v>
      </c>
      <c r="G93" s="5" t="s">
        <v>400</v>
      </c>
      <c r="H93" s="5" t="s">
        <v>105</v>
      </c>
      <c r="I93" s="5" t="s">
        <v>13</v>
      </c>
      <c r="J9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3" s="5"/>
      <c r="L93" s="5" t="s">
        <v>416</v>
      </c>
      <c r="M93" s="5" t="s">
        <v>26</v>
      </c>
      <c r="N9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9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3" s="6" t="str">
        <f>IF(AND(BASE_DE_DADOS[[#This Row],[EM]]="FEITO",BASE_DE_DADOS[[#This Row],[EF]]="FEITO"), "FEITO", "")</f>
        <v>FEITO</v>
      </c>
      <c r="Q93" s="6"/>
    </row>
    <row r="94" spans="1:17">
      <c r="A94" s="5" t="s">
        <v>186</v>
      </c>
      <c r="B94" s="5" t="s">
        <v>188</v>
      </c>
      <c r="C94" s="16">
        <v>12</v>
      </c>
      <c r="D94" s="20" t="str">
        <f>IF(BASE_DE_DADOS[[#This Row],[ELEMENTO]]="ACESSÓRIO", HYPERLINK("P:\00623\Inventor\Acessórios\Fabricados\A" &amp; BASE_DE_DADOS[[#This Row],[CÓD. 006/23]] &amp; "\","A" &amp; BASE_DE_DADOS[[#This Row],[CÓD. 006/23]]), "")</f>
        <v>AH83</v>
      </c>
      <c r="E94" s="5" t="s">
        <v>330</v>
      </c>
      <c r="F94" s="5" t="s">
        <v>187</v>
      </c>
      <c r="G94" s="5"/>
      <c r="H94" s="5" t="s">
        <v>29</v>
      </c>
      <c r="I94" s="5" t="s">
        <v>13</v>
      </c>
      <c r="J9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4" s="5" t="s">
        <v>13</v>
      </c>
      <c r="L94" s="5" t="s">
        <v>416</v>
      </c>
      <c r="M94" s="5" t="s">
        <v>26</v>
      </c>
      <c r="N9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9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94" s="6" t="str">
        <f>IF(AND(BASE_DE_DADOS[[#This Row],[EM]]="FEITO",BASE_DE_DADOS[[#This Row],[EF]]="FEITO"), "FEITO", "")</f>
        <v>FEITO</v>
      </c>
      <c r="Q94" s="6"/>
    </row>
    <row r="95" spans="1:17">
      <c r="A95" s="5" t="s">
        <v>189</v>
      </c>
      <c r="B95" s="5" t="s">
        <v>190</v>
      </c>
      <c r="C95" s="3">
        <v>1</v>
      </c>
      <c r="D95" s="20" t="str">
        <f>IF(BASE_DE_DADOS[[#This Row],[ELEMENTO]]="ACESSÓRIO", HYPERLINK("P:\00623\Inventor\Acessórios\Fabricados\A" &amp; BASE_DE_DADOS[[#This Row],[CÓD. 006/23]] &amp; "\","A" &amp; BASE_DE_DADOS[[#This Row],[CÓD. 006/23]]), "")</f>
        <v>AH91</v>
      </c>
      <c r="E95" s="5" t="s">
        <v>331</v>
      </c>
      <c r="F95" s="5" t="s">
        <v>178</v>
      </c>
      <c r="G95" s="5" t="s">
        <v>404</v>
      </c>
      <c r="H95" s="5" t="s">
        <v>29</v>
      </c>
      <c r="I95" s="5" t="s">
        <v>13</v>
      </c>
      <c r="J9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5" s="5" t="s">
        <v>13</v>
      </c>
      <c r="L95" s="5" t="s">
        <v>416</v>
      </c>
      <c r="M95" s="5" t="s">
        <v>26</v>
      </c>
      <c r="N9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9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5" s="6" t="str">
        <f>IF(AND(BASE_DE_DADOS[[#This Row],[EM]]="FEITO",BASE_DE_DADOS[[#This Row],[EF]]="FEITO"), "FEITO", "")</f>
        <v>FEITO</v>
      </c>
      <c r="Q95" s="6"/>
    </row>
    <row r="96" spans="1:17">
      <c r="A96" s="9" t="s">
        <v>437</v>
      </c>
      <c r="B96" s="5" t="s">
        <v>190</v>
      </c>
      <c r="C96" s="3">
        <v>1</v>
      </c>
      <c r="D96" s="20" t="str">
        <f>IF(BASE_DE_DADOS[[#This Row],[ELEMENTO]]="ACESSÓRIO", HYPERLINK("P:\00623\Inventor\Acessórios\Fabricados\A" &amp; BASE_DE_DADOS[[#This Row],[CÓD. 006/23]] &amp; "\","A" &amp; BASE_DE_DADOS[[#This Row],[CÓD. 006/23]]), "")</f>
        <v>A'</v>
      </c>
      <c r="E96" s="5" t="s">
        <v>331</v>
      </c>
      <c r="F96" s="5" t="s">
        <v>178</v>
      </c>
      <c r="G96" s="5" t="s">
        <v>399</v>
      </c>
      <c r="H96" s="5" t="s">
        <v>18</v>
      </c>
      <c r="I96" s="5" t="s">
        <v>13</v>
      </c>
      <c r="J9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96" s="5" t="s">
        <v>13</v>
      </c>
      <c r="L96" s="5" t="s">
        <v>416</v>
      </c>
      <c r="M96" s="5" t="s">
        <v>26</v>
      </c>
      <c r="N9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96" s="6" t="str">
        <f>IF(AND(BASE_DE_DADOS[[#This Row],[EM]]="FEITO",BASE_DE_DADOS[[#This Row],[EF]]="FEITO"), "FEITO", "")</f>
        <v/>
      </c>
      <c r="Q96" s="6"/>
    </row>
    <row r="97" spans="1:17">
      <c r="A97" s="5" t="s">
        <v>191</v>
      </c>
      <c r="B97" s="5" t="s">
        <v>192</v>
      </c>
      <c r="C97" s="3">
        <v>1</v>
      </c>
      <c r="D97" s="20" t="str">
        <f>IF(BASE_DE_DADOS[[#This Row],[ELEMENTO]]="ACESSÓRIO", HYPERLINK("P:\00623\Inventor\Acessórios\Fabricados\A" &amp; BASE_DE_DADOS[[#This Row],[CÓD. 006/23]] &amp; "\","A" &amp; BASE_DE_DADOS[[#This Row],[CÓD. 006/23]]), "")</f>
        <v>AH92</v>
      </c>
      <c r="E97" s="5" t="s">
        <v>332</v>
      </c>
      <c r="F97" s="5" t="s">
        <v>178</v>
      </c>
      <c r="G97" s="5" t="s">
        <v>402</v>
      </c>
      <c r="H97" s="5" t="s">
        <v>31</v>
      </c>
      <c r="I97" s="5" t="s">
        <v>13</v>
      </c>
      <c r="J9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7" s="5" t="s">
        <v>13</v>
      </c>
      <c r="L97" s="5" t="s">
        <v>416</v>
      </c>
      <c r="M97" s="5" t="s">
        <v>26</v>
      </c>
      <c r="N9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7" s="6" t="str">
        <f>IF(AND(BASE_DE_DADOS[[#This Row],[EM]]="FEITO",BASE_DE_DADOS[[#This Row],[EF]]="FEITO"), "FEITO", "")</f>
        <v/>
      </c>
      <c r="Q97" s="6"/>
    </row>
    <row r="98" spans="1:17">
      <c r="A98" s="5" t="s">
        <v>193</v>
      </c>
      <c r="B98" s="5" t="s">
        <v>194</v>
      </c>
      <c r="C98" s="3">
        <v>1</v>
      </c>
      <c r="D98" s="20" t="str">
        <f>IF(BASE_DE_DADOS[[#This Row],[ELEMENTO]]="ACESSÓRIO", HYPERLINK("P:\00623\Inventor\Acessórios\Fabricados\A" &amp; BASE_DE_DADOS[[#This Row],[CÓD. 006/23]] &amp; "\","A" &amp; BASE_DE_DADOS[[#This Row],[CÓD. 006/23]]), "")</f>
        <v>AH93</v>
      </c>
      <c r="E98" s="5" t="s">
        <v>333</v>
      </c>
      <c r="F98" s="5" t="s">
        <v>76</v>
      </c>
      <c r="G98" s="5" t="s">
        <v>402</v>
      </c>
      <c r="H98" s="5" t="s">
        <v>27</v>
      </c>
      <c r="I98" s="5" t="s">
        <v>13</v>
      </c>
      <c r="J9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8" s="5"/>
      <c r="L98" s="5" t="s">
        <v>416</v>
      </c>
      <c r="M98" s="5" t="s">
        <v>26</v>
      </c>
      <c r="N9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8" s="6" t="str">
        <f>IF(AND(BASE_DE_DADOS[[#This Row],[EM]]="FEITO",BASE_DE_DADOS[[#This Row],[EF]]="FEITO"), "FEITO", "")</f>
        <v/>
      </c>
      <c r="Q98" s="6"/>
    </row>
    <row r="99" spans="1:17">
      <c r="A99" s="5" t="s">
        <v>195</v>
      </c>
      <c r="B99" s="5" t="s">
        <v>196</v>
      </c>
      <c r="C99" s="3">
        <v>1</v>
      </c>
      <c r="D99" s="20" t="str">
        <f>IF(BASE_DE_DADOS[[#This Row],[ELEMENTO]]="ACESSÓRIO", HYPERLINK("P:\00623\Inventor\Acessórios\Fabricados\A" &amp; BASE_DE_DADOS[[#This Row],[CÓD. 006/23]] &amp; "\","A" &amp; BASE_DE_DADOS[[#This Row],[CÓD. 006/23]]), "")</f>
        <v>AH96</v>
      </c>
      <c r="E99" s="5" t="s">
        <v>334</v>
      </c>
      <c r="F99" s="5" t="s">
        <v>61</v>
      </c>
      <c r="G99" s="5" t="s">
        <v>402</v>
      </c>
      <c r="H99" s="5" t="s">
        <v>27</v>
      </c>
      <c r="I99" s="5" t="s">
        <v>13</v>
      </c>
      <c r="J9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99" s="5"/>
      <c r="L99" s="5" t="s">
        <v>416</v>
      </c>
      <c r="M99" s="5" t="s">
        <v>26</v>
      </c>
      <c r="N9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9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99" s="6" t="str">
        <f>IF(AND(BASE_DE_DADOS[[#This Row],[EM]]="FEITO",BASE_DE_DADOS[[#This Row],[EF]]="FEITO"), "FEITO", "")</f>
        <v/>
      </c>
      <c r="Q99" s="6"/>
    </row>
    <row r="100" spans="1:17">
      <c r="A100" s="5" t="s">
        <v>197</v>
      </c>
      <c r="B100" s="5" t="s">
        <v>199</v>
      </c>
      <c r="C100" s="3">
        <v>2</v>
      </c>
      <c r="D100" s="20" t="str">
        <f>IF(BASE_DE_DADOS[[#This Row],[ELEMENTO]]="ACESSÓRIO", HYPERLINK("P:\00623\Inventor\Acessórios\Fabricados\A" &amp; BASE_DE_DADOS[[#This Row],[CÓD. 006/23]] &amp; "\","A" &amp; BASE_DE_DADOS[[#This Row],[CÓD. 006/23]]), "")</f>
        <v>AH97</v>
      </c>
      <c r="E100" s="5" t="s">
        <v>335</v>
      </c>
      <c r="F100" s="5" t="s">
        <v>76</v>
      </c>
      <c r="G100" s="5" t="s">
        <v>402</v>
      </c>
      <c r="H100" s="5" t="s">
        <v>198</v>
      </c>
      <c r="I100" s="5" t="s">
        <v>13</v>
      </c>
      <c r="J10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0" s="5" t="s">
        <v>13</v>
      </c>
      <c r="L100" s="5" t="s">
        <v>416</v>
      </c>
      <c r="M100" s="5" t="s">
        <v>26</v>
      </c>
      <c r="N10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0" s="6" t="str">
        <f>IF(AND(BASE_DE_DADOS[[#This Row],[EM]]="FEITO",BASE_DE_DADOS[[#This Row],[EF]]="FEITO"), "FEITO", "")</f>
        <v/>
      </c>
      <c r="Q100" s="6"/>
    </row>
    <row r="101" spans="1:17">
      <c r="A101" s="5" t="s">
        <v>197</v>
      </c>
      <c r="B101" s="5" t="s">
        <v>199</v>
      </c>
      <c r="C101" s="3">
        <v>2</v>
      </c>
      <c r="D101" s="20" t="str">
        <f>IF(BASE_DE_DADOS[[#This Row],[ELEMENTO]]="ACESSÓRIO", HYPERLINK("P:\00623\Inventor\Acessórios\Fabricados\A" &amp; BASE_DE_DADOS[[#This Row],[CÓD. 006/23]] &amp; "\","A" &amp; BASE_DE_DADOS[[#This Row],[CÓD. 006/23]]), "")</f>
        <v>AH97</v>
      </c>
      <c r="E101" s="5" t="s">
        <v>335</v>
      </c>
      <c r="F101" s="5" t="s">
        <v>76</v>
      </c>
      <c r="G101" s="5" t="s">
        <v>402</v>
      </c>
      <c r="H101" s="5" t="s">
        <v>421</v>
      </c>
      <c r="I101" s="5" t="s">
        <v>13</v>
      </c>
      <c r="J10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1" s="5" t="s">
        <v>13</v>
      </c>
      <c r="L101" s="5" t="s">
        <v>416</v>
      </c>
      <c r="M101" s="5" t="s">
        <v>26</v>
      </c>
      <c r="N10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1" s="6" t="str">
        <f>IF(AND(BASE_DE_DADOS[[#This Row],[EM]]="FEITO",BASE_DE_DADOS[[#This Row],[EF]]="FEITO"), "FEITO", "")</f>
        <v/>
      </c>
      <c r="Q101" s="6"/>
    </row>
    <row r="102" spans="1:17">
      <c r="A102" s="5" t="s">
        <v>200</v>
      </c>
      <c r="B102" s="5" t="s">
        <v>201</v>
      </c>
      <c r="C102" s="3">
        <v>2</v>
      </c>
      <c r="D102" s="20" t="str">
        <f>IF(BASE_DE_DADOS[[#This Row],[ELEMENTO]]="ACESSÓRIO", HYPERLINK("P:\00623\Inventor\Acessórios\Fabricados\A" &amp; BASE_DE_DADOS[[#This Row],[CÓD. 006/23]] &amp; "\","A" &amp; BASE_DE_DADOS[[#This Row],[CÓD. 006/23]]), "")</f>
        <v>AH98</v>
      </c>
      <c r="E102" s="5" t="s">
        <v>336</v>
      </c>
      <c r="F102" s="5" t="s">
        <v>76</v>
      </c>
      <c r="G102" s="5" t="s">
        <v>402</v>
      </c>
      <c r="H102" s="5" t="s">
        <v>37</v>
      </c>
      <c r="I102" s="5" t="s">
        <v>13</v>
      </c>
      <c r="J10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2" s="5" t="s">
        <v>13</v>
      </c>
      <c r="L102" s="5" t="s">
        <v>416</v>
      </c>
      <c r="M102" s="5" t="s">
        <v>26</v>
      </c>
      <c r="N10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2" s="6" t="str">
        <f>IF(AND(BASE_DE_DADOS[[#This Row],[EM]]="FEITO",BASE_DE_DADOS[[#This Row],[EF]]="FEITO"), "FEITO", "")</f>
        <v/>
      </c>
      <c r="Q102" s="6"/>
    </row>
    <row r="103" spans="1:17">
      <c r="A103" s="5" t="s">
        <v>202</v>
      </c>
      <c r="B103" s="5" t="s">
        <v>204</v>
      </c>
      <c r="C103" s="3">
        <v>2</v>
      </c>
      <c r="D103" s="20" t="str">
        <f>IF(BASE_DE_DADOS[[#This Row],[ELEMENTO]]="ACESSÓRIO", HYPERLINK("P:\00623\Inventor\Acessórios\Fabricados\A" &amp; BASE_DE_DADOS[[#This Row],[CÓD. 006/23]] &amp; "\","A" &amp; BASE_DE_DADOS[[#This Row],[CÓD. 006/23]]), "")</f>
        <v>AI02</v>
      </c>
      <c r="E103" s="5" t="s">
        <v>337</v>
      </c>
      <c r="F103" s="5" t="s">
        <v>76</v>
      </c>
      <c r="G103" s="5" t="s">
        <v>402</v>
      </c>
      <c r="H103" s="5" t="s">
        <v>203</v>
      </c>
      <c r="I103" s="5" t="s">
        <v>13</v>
      </c>
      <c r="J10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3" s="5" t="s">
        <v>13</v>
      </c>
      <c r="L103" s="5" t="s">
        <v>416</v>
      </c>
      <c r="M103" s="5" t="s">
        <v>26</v>
      </c>
      <c r="N10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3" s="6" t="str">
        <f>IF(AND(BASE_DE_DADOS[[#This Row],[EM]]="FEITO",BASE_DE_DADOS[[#This Row],[EF]]="FEITO"), "FEITO", "")</f>
        <v/>
      </c>
      <c r="Q103" s="6"/>
    </row>
    <row r="104" spans="1:17">
      <c r="A104" s="5" t="s">
        <v>202</v>
      </c>
      <c r="B104" s="5" t="s">
        <v>204</v>
      </c>
      <c r="C104" s="3">
        <v>2</v>
      </c>
      <c r="D104" s="20" t="str">
        <f>IF(BASE_DE_DADOS[[#This Row],[ELEMENTO]]="ACESSÓRIO", HYPERLINK("P:\00623\Inventor\Acessórios\Fabricados\A" &amp; BASE_DE_DADOS[[#This Row],[CÓD. 006/23]] &amp; "\","A" &amp; BASE_DE_DADOS[[#This Row],[CÓD. 006/23]]), "")</f>
        <v>AI02</v>
      </c>
      <c r="E104" s="5" t="s">
        <v>337</v>
      </c>
      <c r="F104" s="5" t="s">
        <v>76</v>
      </c>
      <c r="G104" s="5" t="s">
        <v>403</v>
      </c>
      <c r="H104" s="5" t="s">
        <v>411</v>
      </c>
      <c r="I104" s="5" t="s">
        <v>13</v>
      </c>
      <c r="J10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4" s="5" t="s">
        <v>13</v>
      </c>
      <c r="L104" s="5" t="s">
        <v>416</v>
      </c>
      <c r="M104" s="5" t="s">
        <v>26</v>
      </c>
      <c r="N10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4" s="6" t="str">
        <f>IF(AND(BASE_DE_DADOS[[#This Row],[EM]]="FEITO",BASE_DE_DADOS[[#This Row],[EF]]="FEITO"), "FEITO", "")</f>
        <v/>
      </c>
      <c r="Q104" s="6"/>
    </row>
    <row r="105" spans="1:17">
      <c r="A105" s="5" t="s">
        <v>205</v>
      </c>
      <c r="B105" s="5" t="s">
        <v>206</v>
      </c>
      <c r="C105" s="3">
        <v>1</v>
      </c>
      <c r="D105" s="20" t="str">
        <f>IF(BASE_DE_DADOS[[#This Row],[ELEMENTO]]="ACESSÓRIO", HYPERLINK("P:\00623\Inventor\Acessórios\Fabricados\A" &amp; BASE_DE_DADOS[[#This Row],[CÓD. 006/23]] &amp; "\","A" &amp; BASE_DE_DADOS[[#This Row],[CÓD. 006/23]]), "")</f>
        <v>AI03</v>
      </c>
      <c r="E105" s="5" t="s">
        <v>338</v>
      </c>
      <c r="F105" s="5" t="s">
        <v>91</v>
      </c>
      <c r="G105" s="5" t="s">
        <v>404</v>
      </c>
      <c r="H105" s="5" t="s">
        <v>29</v>
      </c>
      <c r="I105" s="5" t="s">
        <v>13</v>
      </c>
      <c r="J10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5" s="5"/>
      <c r="L105" s="5" t="s">
        <v>416</v>
      </c>
      <c r="M105" s="5" t="s">
        <v>26</v>
      </c>
      <c r="N10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5" s="6" t="str">
        <f>IF(AND(BASE_DE_DADOS[[#This Row],[EM]]="FEITO",BASE_DE_DADOS[[#This Row],[EF]]="FEITO"), "FEITO", "")</f>
        <v/>
      </c>
      <c r="Q105" s="6"/>
    </row>
    <row r="106" spans="1:17">
      <c r="A106" s="5" t="s">
        <v>207</v>
      </c>
      <c r="B106" s="5" t="s">
        <v>208</v>
      </c>
      <c r="C106" s="3">
        <v>1</v>
      </c>
      <c r="D106" s="20" t="str">
        <f>IF(BASE_DE_DADOS[[#This Row],[ELEMENTO]]="ACESSÓRIO", HYPERLINK("P:\00623\Inventor\Acessórios\Fabricados\A" &amp; BASE_DE_DADOS[[#This Row],[CÓD. 006/23]] &amp; "\","A" &amp; BASE_DE_DADOS[[#This Row],[CÓD. 006/23]]), "")</f>
        <v>AI05</v>
      </c>
      <c r="E106" s="5" t="s">
        <v>339</v>
      </c>
      <c r="F106" s="5" t="s">
        <v>97</v>
      </c>
      <c r="G106" s="5" t="s">
        <v>403</v>
      </c>
      <c r="H106" s="5" t="s">
        <v>34</v>
      </c>
      <c r="I106" s="5" t="s">
        <v>13</v>
      </c>
      <c r="J10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6" s="5"/>
      <c r="L106" s="5" t="s">
        <v>416</v>
      </c>
      <c r="M106" s="5" t="s">
        <v>26</v>
      </c>
      <c r="N10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06" s="6" t="str">
        <f>IF(AND(BASE_DE_DADOS[[#This Row],[EM]]="FEITO",BASE_DE_DADOS[[#This Row],[EF]]="FEITO"), "FEITO", "")</f>
        <v/>
      </c>
      <c r="Q106" s="6"/>
    </row>
    <row r="107" spans="1:17">
      <c r="A107" s="5" t="s">
        <v>209</v>
      </c>
      <c r="B107" s="5" t="s">
        <v>210</v>
      </c>
      <c r="C107" s="16">
        <v>40</v>
      </c>
      <c r="D107" s="20" t="str">
        <f>IF(BASE_DE_DADOS[[#This Row],[ELEMENTO]]="ACESSÓRIO", HYPERLINK("P:\00623\Inventor\Acessórios\Fabricados\A" &amp; BASE_DE_DADOS[[#This Row],[CÓD. 006/23]] &amp; "\","A" &amp; BASE_DE_DADOS[[#This Row],[CÓD. 006/23]]), "")</f>
        <v>AI08</v>
      </c>
      <c r="E107" s="5" t="s">
        <v>340</v>
      </c>
      <c r="F107" s="5" t="s">
        <v>76</v>
      </c>
      <c r="G107" s="5"/>
      <c r="H107" s="5" t="s">
        <v>29</v>
      </c>
      <c r="I107" s="5" t="s">
        <v>13</v>
      </c>
      <c r="J10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7" s="5" t="s">
        <v>13</v>
      </c>
      <c r="L107" s="5" t="s">
        <v>416</v>
      </c>
      <c r="M107" s="5" t="s">
        <v>26</v>
      </c>
      <c r="N10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0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7" s="6" t="str">
        <f>IF(AND(BASE_DE_DADOS[[#This Row],[EM]]="FEITO",BASE_DE_DADOS[[#This Row],[EF]]="FEITO"), "FEITO", "")</f>
        <v>FEITO</v>
      </c>
      <c r="Q107" s="6"/>
    </row>
    <row r="108" spans="1:17">
      <c r="A108" s="5" t="s">
        <v>211</v>
      </c>
      <c r="B108" s="5" t="s">
        <v>212</v>
      </c>
      <c r="C108" s="3">
        <v>8</v>
      </c>
      <c r="D108" s="20" t="str">
        <f>IF(BASE_DE_DADOS[[#This Row],[ELEMENTO]]="ACESSÓRIO", HYPERLINK("P:\00623\Inventor\Acessórios\Fabricados\A" &amp; BASE_DE_DADOS[[#This Row],[CÓD. 006/23]] &amp; "\","A" &amp; BASE_DE_DADOS[[#This Row],[CÓD. 006/23]]), "")</f>
        <v>AI10</v>
      </c>
      <c r="E108" s="5" t="s">
        <v>341</v>
      </c>
      <c r="F108" s="5" t="s">
        <v>76</v>
      </c>
      <c r="G108" s="5" t="s">
        <v>404</v>
      </c>
      <c r="H108" s="5" t="s">
        <v>29</v>
      </c>
      <c r="I108" s="5" t="s">
        <v>13</v>
      </c>
      <c r="J10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8" s="5" t="s">
        <v>13</v>
      </c>
      <c r="L108" s="5" t="s">
        <v>416</v>
      </c>
      <c r="M108" s="5" t="s">
        <v>26</v>
      </c>
      <c r="N10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8" s="6" t="str">
        <f>IF(AND(BASE_DE_DADOS[[#This Row],[EM]]="FEITO",BASE_DE_DADOS[[#This Row],[EF]]="FEITO"), "FEITO", "")</f>
        <v/>
      </c>
      <c r="Q108" s="6"/>
    </row>
    <row r="109" spans="1:17">
      <c r="A109" s="5" t="s">
        <v>211</v>
      </c>
      <c r="B109" s="5" t="s">
        <v>212</v>
      </c>
      <c r="C109" s="3">
        <v>1</v>
      </c>
      <c r="D109" s="20" t="str">
        <f>IF(BASE_DE_DADOS[[#This Row],[ELEMENTO]]="ACESSÓRIO", HYPERLINK("P:\00623\Inventor\Acessórios\Fabricados\A" &amp; BASE_DE_DADOS[[#This Row],[CÓD. 006/23]] &amp; "\","A" &amp; BASE_DE_DADOS[[#This Row],[CÓD. 006/23]]), "")</f>
        <v>AI10</v>
      </c>
      <c r="E109" s="5" t="s">
        <v>341</v>
      </c>
      <c r="F109" s="5" t="s">
        <v>76</v>
      </c>
      <c r="G109" s="5" t="s">
        <v>402</v>
      </c>
      <c r="H109" s="5" t="s">
        <v>147</v>
      </c>
      <c r="I109" s="5" t="s">
        <v>13</v>
      </c>
      <c r="J10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09" s="5" t="s">
        <v>13</v>
      </c>
      <c r="L109" s="5" t="s">
        <v>416</v>
      </c>
      <c r="M109" s="5" t="s">
        <v>26</v>
      </c>
      <c r="N10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0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09" s="6" t="str">
        <f>IF(AND(BASE_DE_DADOS[[#This Row],[EM]]="FEITO",BASE_DE_DADOS[[#This Row],[EF]]="FEITO"), "FEITO", "")</f>
        <v/>
      </c>
      <c r="Q109" s="6"/>
    </row>
    <row r="110" spans="1:17">
      <c r="A110" s="5" t="s">
        <v>213</v>
      </c>
      <c r="B110" s="5" t="s">
        <v>214</v>
      </c>
      <c r="C110" s="3">
        <v>1</v>
      </c>
      <c r="D110" s="20" t="str">
        <f>IF(BASE_DE_DADOS[[#This Row],[ELEMENTO]]="ACESSÓRIO", HYPERLINK("P:\00623\Inventor\Acessórios\Fabricados\A" &amp; BASE_DE_DADOS[[#This Row],[CÓD. 006/23]] &amp; "\","A" &amp; BASE_DE_DADOS[[#This Row],[CÓD. 006/23]]), "")</f>
        <v>AI11</v>
      </c>
      <c r="E110" s="5" t="s">
        <v>342</v>
      </c>
      <c r="F110" s="5" t="s">
        <v>61</v>
      </c>
      <c r="G110" s="5" t="s">
        <v>404</v>
      </c>
      <c r="H110" s="5" t="s">
        <v>29</v>
      </c>
      <c r="I110" s="5" t="s">
        <v>13</v>
      </c>
      <c r="J11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0" s="5"/>
      <c r="L110" s="5" t="s">
        <v>416</v>
      </c>
      <c r="M110" s="5" t="s">
        <v>26</v>
      </c>
      <c r="N11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1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10" s="6" t="str">
        <f>IF(AND(BASE_DE_DADOS[[#This Row],[EM]]="FEITO",BASE_DE_DADOS[[#This Row],[EF]]="FEITO"), "FEITO", "")</f>
        <v/>
      </c>
      <c r="Q110" s="6"/>
    </row>
    <row r="111" spans="1:17">
      <c r="A111" s="5" t="s">
        <v>215</v>
      </c>
      <c r="B111" s="5" t="s">
        <v>216</v>
      </c>
      <c r="C111" s="3">
        <v>1</v>
      </c>
      <c r="D111" s="20" t="str">
        <f>IF(BASE_DE_DADOS[[#This Row],[ELEMENTO]]="ACESSÓRIO", HYPERLINK("P:\00623\Inventor\Acessórios\Fabricados\A" &amp; BASE_DE_DADOS[[#This Row],[CÓD. 006/23]] &amp; "\","A" &amp; BASE_DE_DADOS[[#This Row],[CÓD. 006/23]]), "")</f>
        <v>AI12</v>
      </c>
      <c r="E111" s="5" t="s">
        <v>343</v>
      </c>
      <c r="F111" s="5" t="s">
        <v>178</v>
      </c>
      <c r="G111" s="5" t="s">
        <v>404</v>
      </c>
      <c r="H111" s="5" t="s">
        <v>29</v>
      </c>
      <c r="I111" s="5" t="s">
        <v>13</v>
      </c>
      <c r="J11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1" s="5"/>
      <c r="L111" s="5" t="s">
        <v>416</v>
      </c>
      <c r="M111" s="5" t="s">
        <v>26</v>
      </c>
      <c r="N11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1" s="6" t="str">
        <f>IF(AND(BASE_DE_DADOS[[#This Row],[EM]]="FEITO",BASE_DE_DADOS[[#This Row],[EF]]="FEITO"), "FEITO", "")</f>
        <v>FEITO</v>
      </c>
      <c r="Q111" s="6"/>
    </row>
    <row r="112" spans="1:17">
      <c r="A112" s="5" t="s">
        <v>215</v>
      </c>
      <c r="B112" s="5" t="s">
        <v>216</v>
      </c>
      <c r="C112" s="3">
        <v>1</v>
      </c>
      <c r="D112" s="20" t="str">
        <f>IF(BASE_DE_DADOS[[#This Row],[ELEMENTO]]="ACESSÓRIO", HYPERLINK("P:\00623\Inventor\Acessórios\Fabricados\A" &amp; BASE_DE_DADOS[[#This Row],[CÓD. 006/23]] &amp; "\","A" &amp; BASE_DE_DADOS[[#This Row],[CÓD. 006/23]]), "")</f>
        <v>AI12</v>
      </c>
      <c r="E112" s="5" t="s">
        <v>343</v>
      </c>
      <c r="F112" s="5" t="s">
        <v>362</v>
      </c>
      <c r="G112" s="5" t="s">
        <v>404</v>
      </c>
      <c r="H112" s="5" t="s">
        <v>29</v>
      </c>
      <c r="I112" s="5" t="s">
        <v>13</v>
      </c>
      <c r="J11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2" s="5"/>
      <c r="L112" s="5" t="s">
        <v>416</v>
      </c>
      <c r="M112" s="5" t="s">
        <v>26</v>
      </c>
      <c r="N11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2" s="6" t="str">
        <f>IF(AND(BASE_DE_DADOS[[#This Row],[EM]]="FEITO",BASE_DE_DADOS[[#This Row],[EF]]="FEITO"), "FEITO", "")</f>
        <v>FEITO</v>
      </c>
      <c r="Q112" s="6"/>
    </row>
    <row r="113" spans="1:17">
      <c r="A113" s="5" t="s">
        <v>215</v>
      </c>
      <c r="B113" s="5" t="s">
        <v>216</v>
      </c>
      <c r="C113" s="3">
        <v>1</v>
      </c>
      <c r="D113" s="20" t="str">
        <f>IF(BASE_DE_DADOS[[#This Row],[ELEMENTO]]="ACESSÓRIO", HYPERLINK("P:\00623\Inventor\Acessórios\Fabricados\A" &amp; BASE_DE_DADOS[[#This Row],[CÓD. 006/23]] &amp; "\","A" &amp; BASE_DE_DADOS[[#This Row],[CÓD. 006/23]]), "")</f>
        <v>AI12</v>
      </c>
      <c r="E113" s="5" t="s">
        <v>343</v>
      </c>
      <c r="F113" s="5" t="s">
        <v>178</v>
      </c>
      <c r="G113" s="5" t="s">
        <v>399</v>
      </c>
      <c r="H113" s="5" t="s">
        <v>18</v>
      </c>
      <c r="I113" s="5" t="s">
        <v>13</v>
      </c>
      <c r="J11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3" s="5"/>
      <c r="L113" s="5" t="s">
        <v>416</v>
      </c>
      <c r="M113" s="5" t="s">
        <v>26</v>
      </c>
      <c r="N11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3" s="6" t="str">
        <f>IF(AND(BASE_DE_DADOS[[#This Row],[EM]]="FEITO",BASE_DE_DADOS[[#This Row],[EF]]="FEITO"), "FEITO", "")</f>
        <v>FEITO</v>
      </c>
      <c r="Q113" s="6"/>
    </row>
    <row r="114" spans="1:17">
      <c r="A114" s="5" t="s">
        <v>217</v>
      </c>
      <c r="B114" s="5" t="s">
        <v>218</v>
      </c>
      <c r="C114" s="3">
        <v>5</v>
      </c>
      <c r="D114" s="20" t="str">
        <f>IF(BASE_DE_DADOS[[#This Row],[ELEMENTO]]="ACESSÓRIO", HYPERLINK("P:\00623\Inventor\Acessórios\Fabricados\A" &amp; BASE_DE_DADOS[[#This Row],[CÓD. 006/23]] &amp; "\","A" &amp; BASE_DE_DADOS[[#This Row],[CÓD. 006/23]]), "")</f>
        <v>AI13</v>
      </c>
      <c r="E114" s="5" t="s">
        <v>344</v>
      </c>
      <c r="F114" s="5" t="s">
        <v>367</v>
      </c>
      <c r="G114" s="5" t="s">
        <v>404</v>
      </c>
      <c r="H114" s="5" t="s">
        <v>29</v>
      </c>
      <c r="I114" s="5" t="s">
        <v>13</v>
      </c>
      <c r="J11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4" s="5"/>
      <c r="L114" s="5" t="s">
        <v>416</v>
      </c>
      <c r="M114" s="5" t="s">
        <v>26</v>
      </c>
      <c r="N11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4" s="6" t="str">
        <f>IF(AND(BASE_DE_DADOS[[#This Row],[EM]]="FEITO",BASE_DE_DADOS[[#This Row],[EF]]="FEITO"), "FEITO", "")</f>
        <v>FEITO</v>
      </c>
      <c r="Q114" s="6"/>
    </row>
    <row r="115" spans="1:17">
      <c r="A115" s="5" t="s">
        <v>217</v>
      </c>
      <c r="B115" s="5" t="s">
        <v>218</v>
      </c>
      <c r="C115" s="3">
        <v>1</v>
      </c>
      <c r="D115" s="20" t="str">
        <f>IF(BASE_DE_DADOS[[#This Row],[ELEMENTO]]="ACESSÓRIO", HYPERLINK("P:\00623\Inventor\Acessórios\Fabricados\A" &amp; BASE_DE_DADOS[[#This Row],[CÓD. 006/23]] &amp; "\","A" &amp; BASE_DE_DADOS[[#This Row],[CÓD. 006/23]]), "")</f>
        <v>AI13</v>
      </c>
      <c r="E115" s="5" t="s">
        <v>344</v>
      </c>
      <c r="F115" s="5" t="s">
        <v>367</v>
      </c>
      <c r="G115" s="5" t="s">
        <v>402</v>
      </c>
      <c r="H115" s="5" t="s">
        <v>421</v>
      </c>
      <c r="I115" s="5" t="s">
        <v>13</v>
      </c>
      <c r="J11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5" s="5"/>
      <c r="L115" s="5" t="s">
        <v>416</v>
      </c>
      <c r="M115" s="5" t="s">
        <v>26</v>
      </c>
      <c r="N11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5" s="6" t="str">
        <f>IF(AND(BASE_DE_DADOS[[#This Row],[EM]]="FEITO",BASE_DE_DADOS[[#This Row],[EF]]="FEITO"), "FEITO", "")</f>
        <v>FEITO</v>
      </c>
      <c r="Q115" s="6"/>
    </row>
    <row r="116" spans="1:17">
      <c r="A116" s="5" t="s">
        <v>217</v>
      </c>
      <c r="B116" s="5" t="s">
        <v>218</v>
      </c>
      <c r="C116" s="3">
        <v>1</v>
      </c>
      <c r="D116" s="20" t="str">
        <f>IF(BASE_DE_DADOS[[#This Row],[ELEMENTO]]="ACESSÓRIO", HYPERLINK("P:\00623\Inventor\Acessórios\Fabricados\A" &amp; BASE_DE_DADOS[[#This Row],[CÓD. 006/23]] &amp; "\","A" &amp; BASE_DE_DADOS[[#This Row],[CÓD. 006/23]]), "")</f>
        <v>AI13</v>
      </c>
      <c r="E116" s="5" t="s">
        <v>344</v>
      </c>
      <c r="F116" s="5" t="s">
        <v>367</v>
      </c>
      <c r="G116" s="5" t="s">
        <v>402</v>
      </c>
      <c r="H116" s="5" t="s">
        <v>198</v>
      </c>
      <c r="I116" s="5" t="s">
        <v>13</v>
      </c>
      <c r="J11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6" s="5"/>
      <c r="L116" s="5" t="s">
        <v>416</v>
      </c>
      <c r="M116" s="5" t="s">
        <v>26</v>
      </c>
      <c r="N11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1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6" s="6" t="str">
        <f>IF(AND(BASE_DE_DADOS[[#This Row],[EM]]="FEITO",BASE_DE_DADOS[[#This Row],[EF]]="FEITO"), "FEITO", "")</f>
        <v>FEITO</v>
      </c>
      <c r="Q116" s="6"/>
    </row>
    <row r="117" spans="1:17">
      <c r="A117" s="5" t="s">
        <v>219</v>
      </c>
      <c r="B117" s="5" t="s">
        <v>220</v>
      </c>
      <c r="C117" s="3">
        <v>1</v>
      </c>
      <c r="D117" s="20" t="str">
        <f>IF(BASE_DE_DADOS[[#This Row],[ELEMENTO]]="ACESSÓRIO", HYPERLINK("P:\00623\Inventor\Acessórios\Fabricados\A" &amp; BASE_DE_DADOS[[#This Row],[CÓD. 006/23]] &amp; "\","A" &amp; BASE_DE_DADOS[[#This Row],[CÓD. 006/23]]), "")</f>
        <v>AI19</v>
      </c>
      <c r="E117" s="5" t="s">
        <v>345</v>
      </c>
      <c r="F117" s="5" t="s">
        <v>367</v>
      </c>
      <c r="G117" s="5" t="s">
        <v>402</v>
      </c>
      <c r="H117" s="5" t="s">
        <v>111</v>
      </c>
      <c r="I117" s="5" t="s">
        <v>13</v>
      </c>
      <c r="J11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7" s="5" t="s">
        <v>13</v>
      </c>
      <c r="L117" s="5" t="s">
        <v>416</v>
      </c>
      <c r="M117" s="5" t="s">
        <v>26</v>
      </c>
      <c r="N11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1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7" s="6" t="str">
        <f>IF(AND(BASE_DE_DADOS[[#This Row],[EM]]="FEITO",BASE_DE_DADOS[[#This Row],[EF]]="FEITO"), "FEITO", "")</f>
        <v/>
      </c>
      <c r="Q117" s="6"/>
    </row>
    <row r="118" spans="1:17">
      <c r="A118" s="5" t="s">
        <v>219</v>
      </c>
      <c r="B118" s="5" t="s">
        <v>220</v>
      </c>
      <c r="C118" s="3">
        <v>1</v>
      </c>
      <c r="D118" s="20" t="str">
        <f>IF(BASE_DE_DADOS[[#This Row],[ELEMENTO]]="ACESSÓRIO", HYPERLINK("P:\00623\Inventor\Acessórios\Fabricados\A" &amp; BASE_DE_DADOS[[#This Row],[CÓD. 006/23]] &amp; "\","A" &amp; BASE_DE_DADOS[[#This Row],[CÓD. 006/23]]), "")</f>
        <v>AI19</v>
      </c>
      <c r="E118" s="5" t="s">
        <v>345</v>
      </c>
      <c r="F118" s="5" t="s">
        <v>367</v>
      </c>
      <c r="G118" s="5" t="s">
        <v>400</v>
      </c>
      <c r="H118" s="5" t="s">
        <v>393</v>
      </c>
      <c r="I118" s="5" t="s">
        <v>13</v>
      </c>
      <c r="J11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8" s="5" t="s">
        <v>13</v>
      </c>
      <c r="L118" s="5" t="s">
        <v>416</v>
      </c>
      <c r="M118" s="5" t="s">
        <v>26</v>
      </c>
      <c r="N11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1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8" s="6" t="str">
        <f>IF(AND(BASE_DE_DADOS[[#This Row],[EM]]="FEITO",BASE_DE_DADOS[[#This Row],[EF]]="FEITO"), "FEITO", "")</f>
        <v/>
      </c>
      <c r="Q118" s="6"/>
    </row>
    <row r="119" spans="1:17">
      <c r="A119" s="5" t="s">
        <v>219</v>
      </c>
      <c r="B119" s="5" t="s">
        <v>220</v>
      </c>
      <c r="C119" s="3">
        <v>1</v>
      </c>
      <c r="D119" s="20" t="str">
        <f>IF(BASE_DE_DADOS[[#This Row],[ELEMENTO]]="ACESSÓRIO", HYPERLINK("P:\00623\Inventor\Acessórios\Fabricados\A" &amp; BASE_DE_DADOS[[#This Row],[CÓD. 006/23]] &amp; "\","A" &amp; BASE_DE_DADOS[[#This Row],[CÓD. 006/23]]), "")</f>
        <v>AI19</v>
      </c>
      <c r="E119" s="5" t="s">
        <v>345</v>
      </c>
      <c r="F119" s="5" t="s">
        <v>367</v>
      </c>
      <c r="G119" s="5" t="s">
        <v>400</v>
      </c>
      <c r="H119" s="5" t="s">
        <v>105</v>
      </c>
      <c r="I119" s="5" t="s">
        <v>13</v>
      </c>
      <c r="J11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19" s="5" t="s">
        <v>13</v>
      </c>
      <c r="L119" s="5" t="s">
        <v>416</v>
      </c>
      <c r="M119" s="5" t="s">
        <v>26</v>
      </c>
      <c r="N11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1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19" s="6" t="str">
        <f>IF(AND(BASE_DE_DADOS[[#This Row],[EM]]="FEITO",BASE_DE_DADOS[[#This Row],[EF]]="FEITO"), "FEITO", "")</f>
        <v/>
      </c>
      <c r="Q119" s="6"/>
    </row>
    <row r="120" spans="1:17">
      <c r="A120" s="5" t="s">
        <v>222</v>
      </c>
      <c r="B120" s="5" t="s">
        <v>223</v>
      </c>
      <c r="C120" s="3">
        <v>1</v>
      </c>
      <c r="D120" s="20" t="str">
        <f>IF(BASE_DE_DADOS[[#This Row],[ELEMENTO]]="ACESSÓRIO", HYPERLINK("P:\00623\Inventor\Acessórios\Fabricados\A" &amp; BASE_DE_DADOS[[#This Row],[CÓD. 006/23]] &amp; "\","A" &amp; BASE_DE_DADOS[[#This Row],[CÓD. 006/23]]), "")</f>
        <v>AI21</v>
      </c>
      <c r="E120" s="5" t="s">
        <v>439</v>
      </c>
      <c r="F120" s="5" t="s">
        <v>84</v>
      </c>
      <c r="G120" s="5" t="s">
        <v>403</v>
      </c>
      <c r="H120" s="5" t="s">
        <v>37</v>
      </c>
      <c r="I120" s="5" t="s">
        <v>13</v>
      </c>
      <c r="J12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0" s="5"/>
      <c r="L120" s="5" t="s">
        <v>416</v>
      </c>
      <c r="M120" s="5" t="s">
        <v>26</v>
      </c>
      <c r="N12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0" s="6" t="str">
        <f>IF(AND(BASE_DE_DADOS[[#This Row],[EM]]="FEITO",BASE_DE_DADOS[[#This Row],[EF]]="FEITO"), "FEITO", "")</f>
        <v/>
      </c>
      <c r="Q120" s="6"/>
    </row>
    <row r="121" spans="1:17">
      <c r="A121" s="5" t="s">
        <v>224</v>
      </c>
      <c r="B121" s="5" t="s">
        <v>225</v>
      </c>
      <c r="C121" s="3">
        <v>1</v>
      </c>
      <c r="D121" s="20" t="str">
        <f>IF(BASE_DE_DADOS[[#This Row],[ELEMENTO]]="ACESSÓRIO", HYPERLINK("P:\00623\Inventor\Acessórios\Fabricados\A" &amp; BASE_DE_DADOS[[#This Row],[CÓD. 006/23]] &amp; "\","A" &amp; BASE_DE_DADOS[[#This Row],[CÓD. 006/23]]), "")</f>
        <v>AI28</v>
      </c>
      <c r="E121" s="5" t="s">
        <v>346</v>
      </c>
      <c r="F121" s="5" t="s">
        <v>84</v>
      </c>
      <c r="G121" s="5" t="s">
        <v>403</v>
      </c>
      <c r="H121" s="5" t="s">
        <v>27</v>
      </c>
      <c r="I121" s="5" t="s">
        <v>13</v>
      </c>
      <c r="J12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1" s="5"/>
      <c r="L121" s="5" t="s">
        <v>416</v>
      </c>
      <c r="M121" s="5" t="s">
        <v>26</v>
      </c>
      <c r="N12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1" s="6" t="str">
        <f>IF(AND(BASE_DE_DADOS[[#This Row],[EM]]="FEITO",BASE_DE_DADOS[[#This Row],[EF]]="FEITO"), "FEITO", "")</f>
        <v/>
      </c>
      <c r="Q121" s="6"/>
    </row>
    <row r="122" spans="1:17">
      <c r="A122" s="5" t="s">
        <v>226</v>
      </c>
      <c r="B122" s="5" t="s">
        <v>227</v>
      </c>
      <c r="C122" s="3">
        <v>1</v>
      </c>
      <c r="D122" s="20" t="str">
        <f>IF(BASE_DE_DADOS[[#This Row],[ELEMENTO]]="ACESSÓRIO", HYPERLINK("P:\00623\Inventor\Acessórios\Fabricados\A" &amp; BASE_DE_DADOS[[#This Row],[CÓD. 006/23]] &amp; "\","A" &amp; BASE_DE_DADOS[[#This Row],[CÓD. 006/23]]), "")</f>
        <v>AI32</v>
      </c>
      <c r="E122" s="5" t="s">
        <v>441</v>
      </c>
      <c r="F122" s="5" t="s">
        <v>97</v>
      </c>
      <c r="G122" s="5" t="s">
        <v>403</v>
      </c>
      <c r="H122" s="5" t="s">
        <v>37</v>
      </c>
      <c r="I122" s="5" t="s">
        <v>13</v>
      </c>
      <c r="J12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2" s="5"/>
      <c r="L122" s="5" t="s">
        <v>416</v>
      </c>
      <c r="M122" s="5" t="s">
        <v>26</v>
      </c>
      <c r="N12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22" s="6" t="str">
        <f>IF(AND(BASE_DE_DADOS[[#This Row],[EM]]="FEITO",BASE_DE_DADOS[[#This Row],[EF]]="FEITO"), "FEITO", "")</f>
        <v/>
      </c>
      <c r="Q122" s="6" t="s">
        <v>228</v>
      </c>
    </row>
    <row r="123" spans="1:17">
      <c r="A123" s="5" t="s">
        <v>229</v>
      </c>
      <c r="B123" s="5" t="s">
        <v>230</v>
      </c>
      <c r="C123" s="3">
        <v>1</v>
      </c>
      <c r="D123" s="20" t="str">
        <f>IF(BASE_DE_DADOS[[#This Row],[ELEMENTO]]="ACESSÓRIO", HYPERLINK("P:\00623\Inventor\Acessórios\Fabricados\A" &amp; BASE_DE_DADOS[[#This Row],[CÓD. 006/23]] &amp; "\","A" &amp; BASE_DE_DADOS[[#This Row],[CÓD. 006/23]]), "")</f>
        <v>AI33</v>
      </c>
      <c r="E123" s="5" t="s">
        <v>347</v>
      </c>
      <c r="F123" s="5" t="s">
        <v>221</v>
      </c>
      <c r="G123" s="5" t="s">
        <v>399</v>
      </c>
      <c r="H123" s="5" t="s">
        <v>18</v>
      </c>
      <c r="I123" s="5" t="s">
        <v>13</v>
      </c>
      <c r="J12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3" s="5" t="s">
        <v>13</v>
      </c>
      <c r="L123" s="5" t="s">
        <v>416</v>
      </c>
      <c r="M123" s="5" t="s">
        <v>26</v>
      </c>
      <c r="N12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2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3" s="6" t="str">
        <f>IF(AND(BASE_DE_DADOS[[#This Row],[EM]]="FEITO",BASE_DE_DADOS[[#This Row],[EF]]="FEITO"), "FEITO", "")</f>
        <v>FEITO</v>
      </c>
      <c r="Q123" s="6"/>
    </row>
    <row r="124" spans="1:17">
      <c r="A124" s="5" t="s">
        <v>229</v>
      </c>
      <c r="B124" s="5" t="s">
        <v>230</v>
      </c>
      <c r="C124" s="3">
        <v>1</v>
      </c>
      <c r="D124" s="20" t="str">
        <f>IF(BASE_DE_DADOS[[#This Row],[ELEMENTO]]="ACESSÓRIO", HYPERLINK("P:\00623\Inventor\Acessórios\Fabricados\A" &amp; BASE_DE_DADOS[[#This Row],[CÓD. 006/23]] &amp; "\","A" &amp; BASE_DE_DADOS[[#This Row],[CÓD. 006/23]]), "")</f>
        <v>AI33</v>
      </c>
      <c r="E124" s="5" t="s">
        <v>347</v>
      </c>
      <c r="F124" s="5" t="s">
        <v>221</v>
      </c>
      <c r="G124" s="5" t="s">
        <v>404</v>
      </c>
      <c r="H124" s="5" t="s">
        <v>29</v>
      </c>
      <c r="I124" s="5" t="s">
        <v>13</v>
      </c>
      <c r="J12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4" s="5" t="s">
        <v>13</v>
      </c>
      <c r="L124" s="5" t="s">
        <v>416</v>
      </c>
      <c r="M124" s="5" t="s">
        <v>26</v>
      </c>
      <c r="N12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2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4" s="6" t="str">
        <f>IF(AND(BASE_DE_DADOS[[#This Row],[EM]]="FEITO",BASE_DE_DADOS[[#This Row],[EF]]="FEITO"), "FEITO", "")</f>
        <v>FEITO</v>
      </c>
      <c r="Q124" s="6"/>
    </row>
    <row r="125" spans="1:17">
      <c r="A125" s="5" t="s">
        <v>229</v>
      </c>
      <c r="B125" s="5" t="s">
        <v>230</v>
      </c>
      <c r="C125" s="3">
        <v>1</v>
      </c>
      <c r="D125" s="20" t="str">
        <f>IF(BASE_DE_DADOS[[#This Row],[ELEMENTO]]="ACESSÓRIO", HYPERLINK("P:\00623\Inventor\Acessórios\Fabricados\A" &amp; BASE_DE_DADOS[[#This Row],[CÓD. 006/23]] &amp; "\","A" &amp; BASE_DE_DADOS[[#This Row],[CÓD. 006/23]]), "")</f>
        <v>AI33</v>
      </c>
      <c r="E125" s="5" t="s">
        <v>347</v>
      </c>
      <c r="F125" s="5" t="s">
        <v>221</v>
      </c>
      <c r="G125" s="5" t="s">
        <v>400</v>
      </c>
      <c r="H125" s="5" t="s">
        <v>105</v>
      </c>
      <c r="I125" s="5" t="s">
        <v>13</v>
      </c>
      <c r="J12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5" s="5" t="s">
        <v>13</v>
      </c>
      <c r="L125" s="5" t="s">
        <v>416</v>
      </c>
      <c r="M125" s="5" t="s">
        <v>26</v>
      </c>
      <c r="N12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2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5" s="6" t="str">
        <f>IF(AND(BASE_DE_DADOS[[#This Row],[EM]]="FEITO",BASE_DE_DADOS[[#This Row],[EF]]="FEITO"), "FEITO", "")</f>
        <v>FEITO</v>
      </c>
      <c r="Q125" s="6"/>
    </row>
    <row r="126" spans="1:17">
      <c r="A126" s="5" t="s">
        <v>231</v>
      </c>
      <c r="B126" s="5" t="s">
        <v>232</v>
      </c>
      <c r="C126" s="3">
        <v>2</v>
      </c>
      <c r="D126" s="20" t="str">
        <f>IF(BASE_DE_DADOS[[#This Row],[ELEMENTO]]="ACESSÓRIO", HYPERLINK("P:\00623\Inventor\Acessórios\Fabricados\A" &amp; BASE_DE_DADOS[[#This Row],[CÓD. 006/23]] &amp; "\","A" &amp; BASE_DE_DADOS[[#This Row],[CÓD. 006/23]]), "")</f>
        <v>AI34</v>
      </c>
      <c r="E126" s="5" t="s">
        <v>348</v>
      </c>
      <c r="F126" s="5" t="s">
        <v>76</v>
      </c>
      <c r="G126" s="5" t="s">
        <v>402</v>
      </c>
      <c r="H126" s="5" t="s">
        <v>203</v>
      </c>
      <c r="I126" s="5" t="s">
        <v>13</v>
      </c>
      <c r="J12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6" s="5" t="s">
        <v>13</v>
      </c>
      <c r="L126" s="5" t="s">
        <v>416</v>
      </c>
      <c r="M126" s="5" t="s">
        <v>26</v>
      </c>
      <c r="N12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6" s="6" t="str">
        <f>IF(AND(BASE_DE_DADOS[[#This Row],[EM]]="FEITO",BASE_DE_DADOS[[#This Row],[EF]]="FEITO"), "FEITO", "")</f>
        <v/>
      </c>
      <c r="Q126" s="6"/>
    </row>
    <row r="127" spans="1:17" s="15" customFormat="1">
      <c r="A127" s="5" t="s">
        <v>233</v>
      </c>
      <c r="B127" s="5" t="s">
        <v>234</v>
      </c>
      <c r="C127" s="3">
        <v>8</v>
      </c>
      <c r="D127" s="20" t="str">
        <f>IF(BASE_DE_DADOS[[#This Row],[ELEMENTO]]="ACESSÓRIO", HYPERLINK("P:\00623\Inventor\Acessórios\Fabricados\A" &amp; BASE_DE_DADOS[[#This Row],[CÓD. 006/23]] &amp; "\","A" &amp; BASE_DE_DADOS[[#This Row],[CÓD. 006/23]]), "")</f>
        <v>AI96</v>
      </c>
      <c r="E127" s="5" t="s">
        <v>349</v>
      </c>
      <c r="F127" s="5" t="s">
        <v>76</v>
      </c>
      <c r="G127" s="5" t="s">
        <v>402</v>
      </c>
      <c r="H127" s="5" t="s">
        <v>40</v>
      </c>
      <c r="I127" s="5" t="s">
        <v>13</v>
      </c>
      <c r="J12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7" s="5"/>
      <c r="L127" s="5" t="s">
        <v>416</v>
      </c>
      <c r="M127" s="5" t="s">
        <v>26</v>
      </c>
      <c r="N12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7" s="6" t="str">
        <f>IF(AND(BASE_DE_DADOS[[#This Row],[EM]]="FEITO",BASE_DE_DADOS[[#This Row],[EF]]="FEITO"), "FEITO", "")</f>
        <v/>
      </c>
      <c r="Q127" s="6"/>
    </row>
    <row r="128" spans="1:17">
      <c r="A128" s="13" t="s">
        <v>235</v>
      </c>
      <c r="B128" s="13">
        <v>876</v>
      </c>
      <c r="C128" s="18">
        <v>2</v>
      </c>
      <c r="D128" s="20" t="str">
        <f>IF(BASE_DE_DADOS[[#This Row],[ELEMENTO]]="ACESSÓRIO", HYPERLINK("P:\00623\Inventor\Acessórios\Fabricados\A" &amp; BASE_DE_DADOS[[#This Row],[CÓD. 006/23]] &amp; "\","A" &amp; BASE_DE_DADOS[[#This Row],[CÓD. 006/23]]), "")</f>
        <v>AJ10</v>
      </c>
      <c r="E128" s="13" t="s">
        <v>350</v>
      </c>
      <c r="F128" s="13" t="s">
        <v>12</v>
      </c>
      <c r="G128" s="13" t="s">
        <v>400</v>
      </c>
      <c r="H128" s="13" t="s">
        <v>29</v>
      </c>
      <c r="I128" s="13" t="s">
        <v>13</v>
      </c>
      <c r="J12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8" s="13"/>
      <c r="L128" s="5" t="s">
        <v>416</v>
      </c>
      <c r="M128" s="13" t="s">
        <v>26</v>
      </c>
      <c r="N12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8" s="14" t="str">
        <f>IF(AND(BASE_DE_DADOS[[#This Row],[EM]]="FEITO",BASE_DE_DADOS[[#This Row],[EF]]="FEITO"), "FEITO", "")</f>
        <v/>
      </c>
      <c r="Q128" s="14"/>
    </row>
    <row r="129" spans="1:17">
      <c r="A129" s="5" t="s">
        <v>236</v>
      </c>
      <c r="B129" s="5" t="s">
        <v>237</v>
      </c>
      <c r="C129" s="3">
        <v>2</v>
      </c>
      <c r="D129" s="20" t="str">
        <f>IF(BASE_DE_DADOS[[#This Row],[ELEMENTO]]="ACESSÓRIO", HYPERLINK("P:\00623\Inventor\Acessórios\Fabricados\A" &amp; BASE_DE_DADOS[[#This Row],[CÓD. 006/23]] &amp; "\","A" &amp; BASE_DE_DADOS[[#This Row],[CÓD. 006/23]]), "")</f>
        <v>AJ37</v>
      </c>
      <c r="E129" s="5" t="s">
        <v>351</v>
      </c>
      <c r="F129" s="5" t="s">
        <v>76</v>
      </c>
      <c r="G129" s="5" t="s">
        <v>402</v>
      </c>
      <c r="H129" s="5" t="s">
        <v>147</v>
      </c>
      <c r="I129" s="5" t="s">
        <v>13</v>
      </c>
      <c r="J12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29" s="5"/>
      <c r="L129" s="5" t="s">
        <v>416</v>
      </c>
      <c r="M129" s="5" t="s">
        <v>26</v>
      </c>
      <c r="N12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2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29" s="6" t="str">
        <f>IF(AND(BASE_DE_DADOS[[#This Row],[EM]]="FEITO",BASE_DE_DADOS[[#This Row],[EF]]="FEITO"), "FEITO", "")</f>
        <v/>
      </c>
      <c r="Q129" s="6"/>
    </row>
    <row r="130" spans="1:17">
      <c r="A130" s="5" t="s">
        <v>236</v>
      </c>
      <c r="B130" s="5" t="s">
        <v>237</v>
      </c>
      <c r="C130" s="3">
        <v>2</v>
      </c>
      <c r="D130" s="20" t="str">
        <f>IF(BASE_DE_DADOS[[#This Row],[ELEMENTO]]="ACESSÓRIO", HYPERLINK("P:\00623\Inventor\Acessórios\Fabricados\A" &amp; BASE_DE_DADOS[[#This Row],[CÓD. 006/23]] &amp; "\","A" &amp; BASE_DE_DADOS[[#This Row],[CÓD. 006/23]]), "")</f>
        <v>AJ37</v>
      </c>
      <c r="E130" s="5" t="s">
        <v>351</v>
      </c>
      <c r="F130" s="5" t="s">
        <v>76</v>
      </c>
      <c r="G130" s="5" t="s">
        <v>400</v>
      </c>
      <c r="H130" s="5" t="s">
        <v>393</v>
      </c>
      <c r="I130" s="5" t="s">
        <v>13</v>
      </c>
      <c r="J13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0" s="5"/>
      <c r="L130" s="5" t="s">
        <v>416</v>
      </c>
      <c r="M130" s="5" t="s">
        <v>26</v>
      </c>
      <c r="N13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30" s="6" t="str">
        <f>IF(AND(BASE_DE_DADOS[[#This Row],[EM]]="FEITO",BASE_DE_DADOS[[#This Row],[EF]]="FEITO"), "FEITO", "")</f>
        <v/>
      </c>
      <c r="Q130" s="6"/>
    </row>
    <row r="131" spans="1:17">
      <c r="A131" s="5" t="s">
        <v>236</v>
      </c>
      <c r="B131" s="5" t="s">
        <v>237</v>
      </c>
      <c r="C131" s="3">
        <v>6</v>
      </c>
      <c r="D131" s="20" t="str">
        <f>IF(BASE_DE_DADOS[[#This Row],[ELEMENTO]]="ACESSÓRIO", HYPERLINK("P:\00623\Inventor\Acessórios\Fabricados\A" &amp; BASE_DE_DADOS[[#This Row],[CÓD. 006/23]] &amp; "\","A" &amp; BASE_DE_DADOS[[#This Row],[CÓD. 006/23]]), "")</f>
        <v>AJ37</v>
      </c>
      <c r="E131" s="5" t="s">
        <v>351</v>
      </c>
      <c r="F131" s="5" t="s">
        <v>76</v>
      </c>
      <c r="G131" s="5" t="s">
        <v>400</v>
      </c>
      <c r="H131" s="5" t="s">
        <v>105</v>
      </c>
      <c r="I131" s="5" t="s">
        <v>13</v>
      </c>
      <c r="J13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1" s="5"/>
      <c r="L131" s="5" t="s">
        <v>416</v>
      </c>
      <c r="M131" s="5" t="s">
        <v>26</v>
      </c>
      <c r="N13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31" s="6" t="str">
        <f>IF(AND(BASE_DE_DADOS[[#This Row],[EM]]="FEITO",BASE_DE_DADOS[[#This Row],[EF]]="FEITO"), "FEITO", "")</f>
        <v/>
      </c>
      <c r="Q131" s="6"/>
    </row>
    <row r="132" spans="1:17">
      <c r="A132" s="5" t="s">
        <v>238</v>
      </c>
      <c r="B132" s="5" t="s">
        <v>239</v>
      </c>
      <c r="C132" s="3">
        <v>1</v>
      </c>
      <c r="D132" s="20" t="str">
        <f>IF(BASE_DE_DADOS[[#This Row],[ELEMENTO]]="ACESSÓRIO", HYPERLINK("P:\00623\Inventor\Acessórios\Fabricados\A" &amp; BASE_DE_DADOS[[#This Row],[CÓD. 006/23]] &amp; "\","A" &amp; BASE_DE_DADOS[[#This Row],[CÓD. 006/23]]), "")</f>
        <v>AJ42</v>
      </c>
      <c r="E132" s="5" t="s">
        <v>352</v>
      </c>
      <c r="F132" s="5" t="s">
        <v>178</v>
      </c>
      <c r="G132" s="5" t="s">
        <v>399</v>
      </c>
      <c r="H132" s="5" t="s">
        <v>18</v>
      </c>
      <c r="I132" s="5" t="s">
        <v>13</v>
      </c>
      <c r="J132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32" s="5"/>
      <c r="L132" s="5" t="s">
        <v>416</v>
      </c>
      <c r="M132" s="5" t="s">
        <v>26</v>
      </c>
      <c r="N132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2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2" s="6" t="str">
        <f>IF(AND(BASE_DE_DADOS[[#This Row],[EM]]="FEITO",BASE_DE_DADOS[[#This Row],[EF]]="FEITO"), "FEITO", "")</f>
        <v/>
      </c>
      <c r="Q132" s="6"/>
    </row>
    <row r="133" spans="1:17">
      <c r="A133" s="5" t="s">
        <v>238</v>
      </c>
      <c r="B133" s="5" t="s">
        <v>239</v>
      </c>
      <c r="C133" s="3">
        <v>1</v>
      </c>
      <c r="D133" s="20" t="str">
        <f>IF(BASE_DE_DADOS[[#This Row],[ELEMENTO]]="ACESSÓRIO", HYPERLINK("P:\00623\Inventor\Acessórios\Fabricados\A" &amp; BASE_DE_DADOS[[#This Row],[CÓD. 006/23]] &amp; "\","A" &amp; BASE_DE_DADOS[[#This Row],[CÓD. 006/23]]), "")</f>
        <v>AJ42</v>
      </c>
      <c r="E133" s="5" t="s">
        <v>352</v>
      </c>
      <c r="F133" s="5" t="s">
        <v>178</v>
      </c>
      <c r="G133" s="5" t="s">
        <v>404</v>
      </c>
      <c r="H133" s="5" t="s">
        <v>29</v>
      </c>
      <c r="I133" s="5" t="s">
        <v>13</v>
      </c>
      <c r="J133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33" s="5"/>
      <c r="L133" s="5" t="s">
        <v>416</v>
      </c>
      <c r="M133" s="5" t="s">
        <v>26</v>
      </c>
      <c r="N133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3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3" s="6" t="str">
        <f>IF(AND(BASE_DE_DADOS[[#This Row],[EM]]="FEITO",BASE_DE_DADOS[[#This Row],[EF]]="FEITO"), "FEITO", "")</f>
        <v/>
      </c>
      <c r="Q133" s="6"/>
    </row>
    <row r="134" spans="1:17">
      <c r="A134" s="5" t="s">
        <v>240</v>
      </c>
      <c r="B134" s="5" t="s">
        <v>241</v>
      </c>
      <c r="C134" s="16">
        <v>29</v>
      </c>
      <c r="D134" s="20" t="str">
        <f>IF(BASE_DE_DADOS[[#This Row],[ELEMENTO]]="ACESSÓRIO", HYPERLINK("P:\00623\Inventor\Acessórios\Fabricados\A" &amp; BASE_DE_DADOS[[#This Row],[CÓD. 006/23]] &amp; "\","A" &amp; BASE_DE_DADOS[[#This Row],[CÓD. 006/23]]), "")</f>
        <v>AJ43</v>
      </c>
      <c r="E134" s="5" t="s">
        <v>353</v>
      </c>
      <c r="F134" s="5" t="s">
        <v>76</v>
      </c>
      <c r="G134" s="5"/>
      <c r="H134" s="5" t="s">
        <v>71</v>
      </c>
      <c r="I134" s="5" t="s">
        <v>13</v>
      </c>
      <c r="J134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4" s="5"/>
      <c r="L134" s="5" t="s">
        <v>416</v>
      </c>
      <c r="M134" s="5" t="s">
        <v>26</v>
      </c>
      <c r="N134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4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34" s="6" t="str">
        <f>IF(AND(BASE_DE_DADOS[[#This Row],[EM]]="FEITO",BASE_DE_DADOS[[#This Row],[EF]]="FEITO"), "FEITO", "")</f>
        <v/>
      </c>
      <c r="Q134" s="6"/>
    </row>
    <row r="135" spans="1:17" ht="16.2" customHeight="1">
      <c r="A135" s="5" t="s">
        <v>242</v>
      </c>
      <c r="B135" s="5" t="s">
        <v>442</v>
      </c>
      <c r="C135" s="3">
        <v>1</v>
      </c>
      <c r="D135" s="20" t="str">
        <f>IF(BASE_DE_DADOS[[#This Row],[ELEMENTO]]="ACESSÓRIO", HYPERLINK("P:\00623\Inventor\Acessórios\Fabricados\A" &amp; BASE_DE_DADOS[[#This Row],[CÓD. 006/23]] &amp; "\","A" &amp; BASE_DE_DADOS[[#This Row],[CÓD. 006/23]]), "")</f>
        <v>AJ70</v>
      </c>
      <c r="E135" s="5" t="s">
        <v>354</v>
      </c>
      <c r="F135" s="5" t="s">
        <v>97</v>
      </c>
      <c r="G135" s="5" t="s">
        <v>403</v>
      </c>
      <c r="H135" s="5" t="s">
        <v>37</v>
      </c>
      <c r="I135" s="5"/>
      <c r="J135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5" s="5"/>
      <c r="L135" s="5" t="s">
        <v>416</v>
      </c>
      <c r="M135" s="5"/>
      <c r="N13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FEITO</v>
      </c>
      <c r="P135" s="6" t="str">
        <f>IF(AND(BASE_DE_DADOS[[#This Row],[EM]]="FEITO",BASE_DE_DADOS[[#This Row],[EF]]="FEITO"), "FEITO", "")</f>
        <v/>
      </c>
      <c r="Q135" s="6" t="s">
        <v>243</v>
      </c>
    </row>
    <row r="136" spans="1:17">
      <c r="A136" s="5" t="s">
        <v>244</v>
      </c>
      <c r="B136" s="5" t="s">
        <v>442</v>
      </c>
      <c r="C136" s="3">
        <v>1</v>
      </c>
      <c r="D136" s="20" t="str">
        <f>IF(BASE_DE_DADOS[[#This Row],[ELEMENTO]]="ACESSÓRIO", HYPERLINK("P:\00623\Inventor\Acessórios\Fabricados\A" &amp; BASE_DE_DADOS[[#This Row],[CÓD. 006/23]] &amp; "\","A" &amp; BASE_DE_DADOS[[#This Row],[CÓD. 006/23]]), "")</f>
        <v>AJ88</v>
      </c>
      <c r="E136" s="5" t="s">
        <v>355</v>
      </c>
      <c r="F136" s="5" t="s">
        <v>221</v>
      </c>
      <c r="G136" s="5" t="s">
        <v>400</v>
      </c>
      <c r="H136" s="5" t="s">
        <v>105</v>
      </c>
      <c r="I136" s="5" t="s">
        <v>13</v>
      </c>
      <c r="J136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6" s="5" t="s">
        <v>13</v>
      </c>
      <c r="L136" s="5" t="s">
        <v>416</v>
      </c>
      <c r="M136" s="5" t="s">
        <v>26</v>
      </c>
      <c r="N136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6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6" s="6" t="str">
        <f>IF(AND(BASE_DE_DADOS[[#This Row],[EM]]="FEITO",BASE_DE_DADOS[[#This Row],[EF]]="FEITO"), "FEITO", "")</f>
        <v/>
      </c>
      <c r="Q136" s="6"/>
    </row>
    <row r="137" spans="1:17">
      <c r="A137" s="5" t="s">
        <v>424</v>
      </c>
      <c r="B137" s="5" t="s">
        <v>245</v>
      </c>
      <c r="C137" s="3">
        <v>5</v>
      </c>
      <c r="D137" s="20" t="str">
        <f>IF(BASE_DE_DADOS[[#This Row],[ELEMENTO]]="ACESSÓRIO", HYPERLINK("P:\00623\Inventor\Acessórios\Fabricados\A" &amp; BASE_DE_DADOS[[#This Row],[CÓD. 006/23]] &amp; "\","A" &amp; BASE_DE_DADOS[[#This Row],[CÓD. 006/23]]), "")</f>
        <v>AA37</v>
      </c>
      <c r="E137" s="5" t="s">
        <v>425</v>
      </c>
      <c r="F137" s="5" t="s">
        <v>187</v>
      </c>
      <c r="G137" s="5" t="s">
        <v>404</v>
      </c>
      <c r="H137" s="5" t="s">
        <v>111</v>
      </c>
      <c r="I137" s="5" t="s">
        <v>13</v>
      </c>
      <c r="J137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7" s="5"/>
      <c r="L137" s="5" t="s">
        <v>416</v>
      </c>
      <c r="M137" s="5" t="s">
        <v>26</v>
      </c>
      <c r="N137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7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7" s="6" t="str">
        <f>IF(AND(BASE_DE_DADOS[[#This Row],[EM]]="FEITO",BASE_DE_DADOS[[#This Row],[EF]]="FEITO"), "FEITO", "")</f>
        <v/>
      </c>
      <c r="Q137" s="6"/>
    </row>
    <row r="138" spans="1:17" s="25" customFormat="1">
      <c r="A138" s="5" t="s">
        <v>424</v>
      </c>
      <c r="B138" s="5" t="s">
        <v>245</v>
      </c>
      <c r="C138" s="3">
        <v>2</v>
      </c>
      <c r="D138" s="20" t="str">
        <f>IF(BASE_DE_DADOS[[#This Row],[ELEMENTO]]="ACESSÓRIO", HYPERLINK("P:\00623\Inventor\Acessórios\Fabricados\A" &amp; BASE_DE_DADOS[[#This Row],[CÓD. 006/23]] &amp; "\","A" &amp; BASE_DE_DADOS[[#This Row],[CÓD. 006/23]]), "")</f>
        <v>AA37</v>
      </c>
      <c r="E138" s="5" t="s">
        <v>425</v>
      </c>
      <c r="F138" s="5" t="s">
        <v>187</v>
      </c>
      <c r="G138" s="5" t="s">
        <v>402</v>
      </c>
      <c r="H138" s="5" t="s">
        <v>198</v>
      </c>
      <c r="I138" s="5" t="s">
        <v>13</v>
      </c>
      <c r="J138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FEITO</v>
      </c>
      <c r="K138" s="5"/>
      <c r="L138" s="5" t="s">
        <v>416</v>
      </c>
      <c r="M138" s="5" t="s">
        <v>26</v>
      </c>
      <c r="N138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38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8" s="6" t="str">
        <f>IF(AND(BASE_DE_DADOS[[#This Row],[EM]]="FEITO",BASE_DE_DADOS[[#This Row],[EF]]="FEITO"), "FEITO", "")</f>
        <v/>
      </c>
      <c r="Q138" s="6"/>
    </row>
    <row r="139" spans="1:17">
      <c r="A139" s="22"/>
      <c r="B139" s="22" t="s">
        <v>246</v>
      </c>
      <c r="C139" s="16"/>
      <c r="D139" s="23" t="str">
        <f>IF(BASE_DE_DADOS[[#This Row],[ELEMENTO]]="ACESSÓRIO", HYPERLINK("P:\00623\Inventor\Acessórios\Fabricados\A" &amp; BASE_DE_DADOS[[#This Row],[CÓD. 006/23]] &amp; "\","A" &amp; BASE_DE_DADOS[[#This Row],[CÓD. 006/23]]), "")</f>
        <v>A</v>
      </c>
      <c r="E139" s="22" t="s">
        <v>356</v>
      </c>
      <c r="F139" s="22" t="s">
        <v>12</v>
      </c>
      <c r="G139" s="22"/>
      <c r="H139" s="22"/>
      <c r="I139" s="22"/>
      <c r="J139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39" s="22"/>
      <c r="L139" s="5" t="s">
        <v>416</v>
      </c>
      <c r="M139" s="22" t="s">
        <v>14</v>
      </c>
      <c r="N139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39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39" s="24" t="str">
        <f>IF(AND(BASE_DE_DADOS[[#This Row],[EM]]="FEITO",BASE_DE_DADOS[[#This Row],[EF]]="FEITO"), "FEITO", "")</f>
        <v/>
      </c>
      <c r="Q139" s="24"/>
    </row>
    <row r="140" spans="1:17">
      <c r="A140" s="5" t="s">
        <v>442</v>
      </c>
      <c r="B140" s="5" t="s">
        <v>248</v>
      </c>
      <c r="C140" s="3">
        <v>1</v>
      </c>
      <c r="D140" s="20" t="str">
        <f>IF(BASE_DE_DADOS[[#This Row],[ELEMENTO]]="ACESSÓRIO", HYPERLINK("P:\00623\Inventor\Acessórios\Fabricados\A" &amp; BASE_DE_DADOS[[#This Row],[CÓD. 006/23]] &amp; "\","A" &amp; BASE_DE_DADOS[[#This Row],[CÓD. 006/23]]), "")</f>
        <v>AN/C</v>
      </c>
      <c r="E140" s="5" t="s">
        <v>357</v>
      </c>
      <c r="F140" s="5" t="s">
        <v>84</v>
      </c>
      <c r="G140" s="5" t="s">
        <v>403</v>
      </c>
      <c r="H140" s="5" t="s">
        <v>34</v>
      </c>
      <c r="I140" s="5" t="s">
        <v>13</v>
      </c>
      <c r="J140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40" s="5"/>
      <c r="L140" s="5" t="s">
        <v>416</v>
      </c>
      <c r="M140" s="5" t="s">
        <v>26</v>
      </c>
      <c r="N140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40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40" s="6" t="str">
        <f>IF(AND(BASE_DE_DADOS[[#This Row],[EM]]="FEITO",BASE_DE_DADOS[[#This Row],[EF]]="FEITO"), "FEITO", "")</f>
        <v/>
      </c>
      <c r="Q140" s="6" t="s">
        <v>249</v>
      </c>
    </row>
    <row r="141" spans="1:17">
      <c r="A141" s="5" t="s">
        <v>442</v>
      </c>
      <c r="B141" s="5" t="s">
        <v>250</v>
      </c>
      <c r="C141" s="3">
        <v>1</v>
      </c>
      <c r="D141" s="20" t="str">
        <f>IF(BASE_DE_DADOS[[#This Row],[ELEMENTO]]="ACESSÓRIO", HYPERLINK("P:\00623\Inventor\Acessórios\Fabricados\A" &amp; BASE_DE_DADOS[[#This Row],[CÓD. 006/23]] &amp; "\","A" &amp; BASE_DE_DADOS[[#This Row],[CÓD. 006/23]]), "")</f>
        <v>AN/C</v>
      </c>
      <c r="E141" s="5" t="s">
        <v>358</v>
      </c>
      <c r="F141" s="5" t="s">
        <v>97</v>
      </c>
      <c r="G141" s="5" t="s">
        <v>403</v>
      </c>
      <c r="H141" s="5" t="s">
        <v>111</v>
      </c>
      <c r="I141" s="5"/>
      <c r="J141" s="29" t="str">
        <f>IF(BASE_DE_DADOS[[#This Row],[ELEMENTO]]="ACESSÓRIO",IF(EXISTEARQUIVO("P:\00623\Inventor\Acessórios\Fabricados\" &amp; "A" &amp; BASE_DE_DADOS[[#This Row],[CÓD. 006/23]] &amp; "\EF-A" &amp; BASE_DE_DADOS[[#This Row],[CÓD. 006/23]] &amp; "*.pdf"), "FEITO", "SEM DOCUMENTO"), " ")</f>
        <v>SEM DOCUMENTO</v>
      </c>
      <c r="K141" s="5"/>
      <c r="L141" s="5" t="s">
        <v>416</v>
      </c>
      <c r="M141" s="5" t="s">
        <v>26</v>
      </c>
      <c r="N141" t="str">
        <f>IF(BASE_DE_DADOS[[#This Row],[ELEMENTO]]="ACESSÓRIO",IF(EXISTEARQUIVO("P:\00623\Documentos de projeto\05 - Elétrica\Montagem\00623_04_1_1_1_EM_A" &amp;BASE_DE_DADOS[[#This Row],[CÓD. 006/23]] &amp;"*.pdf"), "FEITO", "SEM DOCUMENTO"), " ")</f>
        <v>SEM DOCUMENTO</v>
      </c>
      <c r="O141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41" s="6" t="str">
        <f>IF(AND(BASE_DE_DADOS[[#This Row],[EM]]="FEITO",BASE_DE_DADOS[[#This Row],[EF]]="FEITO"), "FEITO", "")</f>
        <v/>
      </c>
      <c r="Q141" s="6"/>
    </row>
    <row r="142" spans="1:17">
      <c r="A142" s="5"/>
      <c r="B142" s="5"/>
      <c r="C142" s="3"/>
      <c r="D142" s="20" t="str">
        <f>IF(BASE_DE_DADOS[[#This Row],[ELEMENTO]]="ACESSÓRIO", HYPERLINK("P:\00623\Inventor\Acessórios\Fabricados\A" &amp; BASE_DE_DADOS[[#This Row],[CÓD. 006/23]] &amp; "\","A" &amp; BASE_DE_DADOS[[#This Row],[CÓD. 006/23]]), "")</f>
        <v>A</v>
      </c>
      <c r="E142" s="5"/>
      <c r="F142" s="5"/>
      <c r="G142" s="5"/>
      <c r="H142" s="5"/>
      <c r="I142" s="5"/>
      <c r="J142" s="27"/>
      <c r="K142" s="5"/>
      <c r="L142" s="5" t="s">
        <v>416</v>
      </c>
      <c r="M142" s="5"/>
      <c r="N142" s="5" t="str">
        <f>IF(BASE_DE_DADOS[[#This Row],[ELEMENTO]]="ACESSÓRIO",IF(EXISTEARQUIVO("P:\00623\Documentos de projeto\05 - Elétrica\Montagem\00623_04_1_1_1_EM_A" &amp;BASE_DE_DADOS[[#This Row],[CÓD. 006/23]] &amp;"*.pdf"), "FEITO", "SEM DOCUMENTO"), " ")</f>
        <v>FEITO</v>
      </c>
      <c r="O142" s="5" t="str">
        <f>IF(BASE_DE_DADOS[[#This Row],[ELEMENTO]]="ACESSÓRIO",IF(EXISTEARQUIVO("P:\00623\Inventor\Acessórios\Fabricados\" &amp; "A" &amp; BASE_DE_DADOS[[#This Row],[CÓD. 006/23]] &amp; "\NEST\" &amp; "A" &amp;BASE_DE_DADOS[[#This Row],[CÓD. 006/23]] &amp; "*.dwg"), "FEITO", "SEM DOCUMENTO"), " ")</f>
        <v>SEM DOCUMENTO</v>
      </c>
      <c r="P142" s="6" t="str">
        <f>IF(AND(BASE_DE_DADOS[[#This Row],[EM]]="FEITO",BASE_DE_DADOS[[#This Row],[EF]]="FEITO"), "FEITO", "")</f>
        <v/>
      </c>
      <c r="Q142" s="6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'VALIDAÇÃO DE DADOS'!$D$2</xm:f>
          </x14:formula1>
          <xm:sqref>J142:J1048576 O142:O1048576 N143:N1048576 K2:K1048576 I2:I1048576</xm:sqref>
        </x14:dataValidation>
        <x14:dataValidation type="list" allowBlank="1" showInputMessage="1" showErrorMessage="1">
          <x14:formula1>
            <xm:f>'VALIDAÇÃO DE DADOS'!$F$2:$F$6</xm:f>
          </x14:formula1>
          <xm:sqref>L2:L1048576</xm:sqref>
        </x14:dataValidation>
        <x14:dataValidation type="list" allowBlank="1" showInputMessage="1" showErrorMessage="1">
          <x14:formula1>
            <xm:f>'VALIDAÇÃO DE DADOS'!$B$2:$B$6</xm:f>
          </x14:formula1>
          <xm:sqref>G2:G1048576</xm:sqref>
        </x14:dataValidation>
        <x14:dataValidation type="list" allowBlank="1" showInputMessage="1" showErrorMessage="1">
          <x14:formula1>
            <xm:f>'VALIDAÇÃO DE DADOS'!$C$2:$C$31</xm:f>
          </x14:formula1>
          <xm:sqref>F2:F1048576</xm:sqref>
        </x14:dataValidation>
        <x14:dataValidation type="list" allowBlank="1" showInputMessage="1" showErrorMessage="1">
          <x14:formula1>
            <xm:f>'VALIDAÇÃO DE DADOS'!$A$2:$A$57</xm:f>
          </x14:formula1>
          <xm:sqref>H2:H1048576</xm:sqref>
        </x14:dataValidation>
        <x14:dataValidation type="list" allowBlank="1" showInputMessage="1" showErrorMessage="1">
          <x14:formula1>
            <xm:f>'VALIDAÇÃO DE DADOS'!$E$2:$E$3</xm:f>
          </x14:formula1>
          <xm:sqref>M2:M1048576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4"/>
  <dimension ref="A1:W129"/>
  <sheetViews>
    <sheetView showGridLines="0" workbookViewId="0">
      <selection activeCell="K15" sqref="K15"/>
    </sheetView>
  </sheetViews>
  <sheetFormatPr defaultColWidth="0" defaultRowHeight="15.05" zeroHeight="1"/>
  <cols>
    <col min="1" max="14" width="8.88671875" customWidth="1"/>
    <col min="15" max="15" width="16.109375" customWidth="1"/>
    <col min="16" max="23" width="8.88671875" customWidth="1"/>
    <col min="24" max="16384" width="8.88671875" hidden="1"/>
  </cols>
  <sheetData>
    <row r="1" spans="15:15"/>
    <row r="2" spans="15:15"/>
    <row r="3" spans="15:15"/>
    <row r="4" spans="15:15"/>
    <row r="5" spans="15:15">
      <c r="O5" s="7"/>
    </row>
    <row r="6" spans="15:15">
      <c r="O6" s="7"/>
    </row>
    <row r="7" spans="15:15">
      <c r="O7" s="7"/>
    </row>
    <row r="8" spans="15:15">
      <c r="O8" s="7"/>
    </row>
    <row r="9" spans="15:15">
      <c r="O9" s="7"/>
    </row>
    <row r="10" spans="15:15">
      <c r="O10" s="7"/>
    </row>
    <row r="11" spans="15:15">
      <c r="O11" s="7"/>
    </row>
    <row r="12" spans="15:15">
      <c r="O12" s="7"/>
    </row>
    <row r="13" spans="15:15">
      <c r="O13" s="7"/>
    </row>
    <row r="14" spans="15:15">
      <c r="O14" s="7"/>
    </row>
    <row r="15" spans="15:15">
      <c r="O15" s="7"/>
    </row>
    <row r="16" spans="15:15">
      <c r="O16" s="7"/>
    </row>
    <row r="17" spans="15:15">
      <c r="O17" s="7"/>
    </row>
    <row r="18" spans="15:15">
      <c r="O18" s="7"/>
    </row>
    <row r="19" spans="15:15">
      <c r="O19" s="7"/>
    </row>
    <row r="20" spans="15:15">
      <c r="O20" s="7"/>
    </row>
    <row r="21" spans="15:15">
      <c r="O21" s="7"/>
    </row>
    <row r="22" spans="15:15">
      <c r="O22" s="7"/>
    </row>
    <row r="23" spans="15:15">
      <c r="O23" s="7"/>
    </row>
    <row r="24" spans="15:15">
      <c r="O24" s="7"/>
    </row>
    <row r="25" spans="15:15">
      <c r="O25" s="7"/>
    </row>
    <row r="26" spans="15:15">
      <c r="O26" s="7"/>
    </row>
    <row r="27" spans="15:15">
      <c r="O27" s="7"/>
    </row>
    <row r="28" spans="15:15">
      <c r="O28" s="7"/>
    </row>
    <row r="29" spans="15:15">
      <c r="O29" s="7"/>
    </row>
    <row r="30" spans="15:15">
      <c r="O30" s="7"/>
    </row>
    <row r="31" spans="15:15">
      <c r="O31" s="7"/>
    </row>
    <row r="32" spans="15:15">
      <c r="O32" s="7"/>
    </row>
    <row r="33" spans="15:15">
      <c r="O33" s="7"/>
    </row>
    <row r="34" spans="15:15">
      <c r="O34" s="7"/>
    </row>
    <row r="35" spans="15:15">
      <c r="O35" s="7"/>
    </row>
    <row r="36" spans="15:15" hidden="1">
      <c r="O36" s="7"/>
    </row>
    <row r="37" spans="15:15" hidden="1">
      <c r="O37" s="7"/>
    </row>
    <row r="38" spans="15:15" hidden="1">
      <c r="O38" s="7"/>
    </row>
    <row r="39" spans="15:15" hidden="1">
      <c r="O39" s="7"/>
    </row>
    <row r="40" spans="15:15" hidden="1">
      <c r="O40" s="7"/>
    </row>
    <row r="41" spans="15:15" hidden="1">
      <c r="O41" s="7"/>
    </row>
    <row r="42" spans="15:15" hidden="1">
      <c r="O42" s="7"/>
    </row>
    <row r="43" spans="15:15" hidden="1">
      <c r="O43" s="7"/>
    </row>
    <row r="44" spans="15:15" hidden="1">
      <c r="O44" s="7"/>
    </row>
    <row r="45" spans="15:15" hidden="1">
      <c r="O45" s="7"/>
    </row>
    <row r="46" spans="15:15" hidden="1">
      <c r="O46" s="7"/>
    </row>
    <row r="47" spans="15:15" hidden="1">
      <c r="O47" s="7"/>
    </row>
    <row r="48" spans="15:15" hidden="1">
      <c r="O48" s="7"/>
    </row>
    <row r="49" spans="15:15" hidden="1">
      <c r="O49" s="7"/>
    </row>
    <row r="50" spans="15:15" hidden="1">
      <c r="O50" s="7"/>
    </row>
    <row r="51" spans="15:15" hidden="1">
      <c r="O51" s="7"/>
    </row>
    <row r="52" spans="15:15" hidden="1">
      <c r="O52" s="7"/>
    </row>
    <row r="53" spans="15:15" hidden="1">
      <c r="O53" s="7"/>
    </row>
    <row r="54" spans="15:15" hidden="1">
      <c r="O54" s="7"/>
    </row>
    <row r="55" spans="15:15" hidden="1">
      <c r="O55" s="7"/>
    </row>
    <row r="56" spans="15:15" hidden="1">
      <c r="O56" s="7"/>
    </row>
    <row r="57" spans="15:15" hidden="1">
      <c r="O57" s="7"/>
    </row>
    <row r="58" spans="15:15" hidden="1">
      <c r="O58" s="7"/>
    </row>
    <row r="59" spans="15:15" hidden="1">
      <c r="O59" s="7"/>
    </row>
    <row r="60" spans="15:15" hidden="1">
      <c r="O60" s="7"/>
    </row>
    <row r="61" spans="15:15" hidden="1">
      <c r="O61" s="7"/>
    </row>
    <row r="62" spans="15:15" hidden="1">
      <c r="O62" s="7"/>
    </row>
    <row r="63" spans="15:15" hidden="1">
      <c r="O63" s="7"/>
    </row>
    <row r="64" spans="15:15" hidden="1">
      <c r="O64" s="7"/>
    </row>
    <row r="65" spans="15:15" hidden="1">
      <c r="O65" s="7"/>
    </row>
    <row r="66" spans="15:15" hidden="1">
      <c r="O66" s="7"/>
    </row>
    <row r="67" spans="15:15" hidden="1">
      <c r="O67" s="7"/>
    </row>
    <row r="68" spans="15:15" hidden="1">
      <c r="O68" s="7"/>
    </row>
    <row r="69" spans="15:15" hidden="1">
      <c r="O69" s="7"/>
    </row>
    <row r="70" spans="15:15" hidden="1">
      <c r="O70" s="7"/>
    </row>
    <row r="71" spans="15:15" hidden="1">
      <c r="O71" s="7"/>
    </row>
    <row r="72" spans="15:15" hidden="1">
      <c r="O72" s="7"/>
    </row>
    <row r="73" spans="15:15" hidden="1">
      <c r="O73" s="7"/>
    </row>
    <row r="74" spans="15:15" hidden="1">
      <c r="O74" s="7"/>
    </row>
    <row r="75" spans="15:15" hidden="1">
      <c r="O75" s="7"/>
    </row>
    <row r="76" spans="15:15" hidden="1">
      <c r="O76" s="7"/>
    </row>
    <row r="77" spans="15:15" hidden="1">
      <c r="O77" s="7"/>
    </row>
    <row r="78" spans="15:15" hidden="1">
      <c r="O78" s="7"/>
    </row>
    <row r="79" spans="15:15" hidden="1">
      <c r="O79" s="7"/>
    </row>
    <row r="80" spans="15:15" hidden="1">
      <c r="O80" s="7"/>
    </row>
    <row r="81" spans="15:15" hidden="1">
      <c r="O81" s="7"/>
    </row>
    <row r="82" spans="15:15" hidden="1">
      <c r="O82" s="7"/>
    </row>
    <row r="83" spans="15:15" hidden="1">
      <c r="O83" s="7"/>
    </row>
    <row r="84" spans="15:15" hidden="1">
      <c r="O84" s="7"/>
    </row>
    <row r="85" spans="15:15" hidden="1">
      <c r="O85" s="7"/>
    </row>
    <row r="86" spans="15:15" hidden="1">
      <c r="O86" s="7"/>
    </row>
    <row r="87" spans="15:15" hidden="1">
      <c r="O87" s="7"/>
    </row>
    <row r="88" spans="15:15" hidden="1">
      <c r="O88" s="7"/>
    </row>
    <row r="89" spans="15:15" hidden="1">
      <c r="O89" s="7"/>
    </row>
    <row r="90" spans="15:15" hidden="1">
      <c r="O90" s="7"/>
    </row>
    <row r="91" spans="15:15" hidden="1">
      <c r="O91" s="7"/>
    </row>
    <row r="92" spans="15:15" hidden="1">
      <c r="O92" s="7"/>
    </row>
    <row r="93" spans="15:15" hidden="1">
      <c r="O93" s="7"/>
    </row>
    <row r="94" spans="15:15" hidden="1">
      <c r="O94" s="7"/>
    </row>
    <row r="95" spans="15:15" hidden="1">
      <c r="O95" s="7"/>
    </row>
    <row r="96" spans="15:15" hidden="1">
      <c r="O96" s="7"/>
    </row>
    <row r="97" spans="15:15" hidden="1">
      <c r="O97" s="7"/>
    </row>
    <row r="98" spans="15:15" hidden="1">
      <c r="O98" s="7"/>
    </row>
    <row r="99" spans="15:15" hidden="1">
      <c r="O99" s="7"/>
    </row>
    <row r="100" spans="15:15" hidden="1">
      <c r="O100" s="7"/>
    </row>
    <row r="101" spans="15:15" hidden="1">
      <c r="O101" s="7"/>
    </row>
    <row r="102" spans="15:15" hidden="1">
      <c r="O102" s="7"/>
    </row>
    <row r="103" spans="15:15" hidden="1">
      <c r="O103" s="7"/>
    </row>
    <row r="104" spans="15:15" hidden="1">
      <c r="O104" s="7"/>
    </row>
    <row r="105" spans="15:15" hidden="1">
      <c r="O105" s="7"/>
    </row>
    <row r="106" spans="15:15" hidden="1">
      <c r="O106" s="7"/>
    </row>
    <row r="107" spans="15:15" hidden="1">
      <c r="O107" s="7"/>
    </row>
    <row r="108" spans="15:15" hidden="1">
      <c r="O108" s="7"/>
    </row>
    <row r="109" spans="15:15" hidden="1">
      <c r="O109" s="7"/>
    </row>
    <row r="110" spans="15:15" hidden="1">
      <c r="O110" s="7"/>
    </row>
    <row r="111" spans="15:15" hidden="1">
      <c r="O111" s="7"/>
    </row>
    <row r="112" spans="15:15" hidden="1">
      <c r="O112" s="7"/>
    </row>
    <row r="113" spans="15:15" hidden="1">
      <c r="O113" s="7"/>
    </row>
    <row r="114" spans="15:15" hidden="1">
      <c r="O114" s="7"/>
    </row>
    <row r="115" spans="15:15" hidden="1">
      <c r="O115" s="7"/>
    </row>
    <row r="116" spans="15:15" hidden="1">
      <c r="O116" s="7"/>
    </row>
    <row r="117" spans="15:15" hidden="1">
      <c r="O117" s="7"/>
    </row>
    <row r="118" spans="15:15" hidden="1">
      <c r="O118" s="7"/>
    </row>
    <row r="119" spans="15:15" hidden="1">
      <c r="O119" s="7"/>
    </row>
    <row r="120" spans="15:15" hidden="1">
      <c r="O120" s="7"/>
    </row>
    <row r="121" spans="15:15" hidden="1">
      <c r="O121" s="7"/>
    </row>
    <row r="122" spans="15:15" hidden="1">
      <c r="O122" s="7"/>
    </row>
    <row r="123" spans="15:15" hidden="1">
      <c r="O123" s="7"/>
    </row>
    <row r="124" spans="15:15" hidden="1">
      <c r="O124" s="7"/>
    </row>
    <row r="125" spans="15:15" hidden="1">
      <c r="O125" s="7"/>
    </row>
    <row r="126" spans="15:15" hidden="1">
      <c r="O126" s="7"/>
    </row>
    <row r="127" spans="15:15" hidden="1">
      <c r="O127" s="7"/>
    </row>
    <row r="128" spans="15:15" hidden="1">
      <c r="O128" s="7"/>
    </row>
    <row r="129" spans="15:15" hidden="1">
      <c r="O12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List Box 3">
              <controlPr defaultSize="0" autoLine="0" autoPict="0">
                <anchor moveWithCells="1">
                  <from>
                    <xdr:col>13</xdr:col>
                    <xdr:colOff>357447</xdr:colOff>
                    <xdr:row>2</xdr:row>
                    <xdr:rowOff>49876</xdr:rowOff>
                  </from>
                  <to>
                    <xdr:col>14</xdr:col>
                    <xdr:colOff>1180407</xdr:colOff>
                    <xdr:row>10</xdr:row>
                    <xdr:rowOff>49876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15</xdr:col>
                    <xdr:colOff>465513</xdr:colOff>
                    <xdr:row>2</xdr:row>
                    <xdr:rowOff>133004</xdr:rowOff>
                  </from>
                  <to>
                    <xdr:col>18</xdr:col>
                    <xdr:colOff>8313</xdr:colOff>
                    <xdr:row>10</xdr:row>
                    <xdr:rowOff>133004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F57"/>
  <sheetViews>
    <sheetView workbookViewId="0">
      <selection activeCell="D13" sqref="D13"/>
    </sheetView>
  </sheetViews>
  <sheetFormatPr defaultRowHeight="15.05"/>
  <cols>
    <col min="1" max="1" width="49.6640625" bestFit="1" customWidth="1"/>
    <col min="2" max="2" width="30.109375" bestFit="1" customWidth="1"/>
    <col min="3" max="3" width="43.109375" bestFit="1" customWidth="1"/>
    <col min="4" max="5" width="19.6640625" bestFit="1" customWidth="1"/>
    <col min="6" max="6" width="34" bestFit="1" customWidth="1"/>
    <col min="7" max="7" width="43.109375" bestFit="1" customWidth="1"/>
    <col min="8" max="8" width="11.109375" bestFit="1" customWidth="1"/>
    <col min="9" max="9" width="8.5546875" bestFit="1" customWidth="1"/>
    <col min="10" max="10" width="11.109375" bestFit="1" customWidth="1"/>
    <col min="11" max="11" width="19.6640625" bestFit="1" customWidth="1"/>
  </cols>
  <sheetData>
    <row r="1" spans="1:6">
      <c r="A1" s="1" t="s">
        <v>359</v>
      </c>
      <c r="B1" s="1" t="s">
        <v>422</v>
      </c>
      <c r="C1" s="1" t="s">
        <v>360</v>
      </c>
      <c r="D1" s="1" t="s">
        <v>361</v>
      </c>
      <c r="E1" s="1" t="s">
        <v>414</v>
      </c>
      <c r="F1" s="1" t="s">
        <v>415</v>
      </c>
    </row>
    <row r="2" spans="1:6">
      <c r="A2" s="1" t="s">
        <v>18</v>
      </c>
      <c r="B2" s="1" t="s">
        <v>399</v>
      </c>
      <c r="C2" s="1" t="s">
        <v>42</v>
      </c>
      <c r="D2" s="1" t="s">
        <v>13</v>
      </c>
      <c r="E2" s="1" t="s">
        <v>26</v>
      </c>
      <c r="F2" s="1" t="s">
        <v>416</v>
      </c>
    </row>
    <row r="3" spans="1:6">
      <c r="A3" s="1" t="s">
        <v>29</v>
      </c>
      <c r="B3" s="1" t="s">
        <v>400</v>
      </c>
      <c r="C3" s="1" t="s">
        <v>97</v>
      </c>
      <c r="D3" s="1"/>
      <c r="E3" s="1" t="s">
        <v>14</v>
      </c>
      <c r="F3" s="1" t="s">
        <v>427</v>
      </c>
    </row>
    <row r="4" spans="1:6">
      <c r="A4" s="1" t="s">
        <v>105</v>
      </c>
      <c r="B4" s="1" t="s">
        <v>402</v>
      </c>
      <c r="C4" s="1" t="s">
        <v>362</v>
      </c>
      <c r="D4" s="1"/>
      <c r="E4" s="1"/>
      <c r="F4" s="1" t="s">
        <v>428</v>
      </c>
    </row>
    <row r="5" spans="1:6">
      <c r="A5" s="1"/>
      <c r="B5" s="1" t="s">
        <v>403</v>
      </c>
      <c r="C5" s="1" t="s">
        <v>68</v>
      </c>
      <c r="D5" s="1"/>
      <c r="E5" s="1"/>
      <c r="F5" s="1" t="s">
        <v>429</v>
      </c>
    </row>
    <row r="6" spans="1:6">
      <c r="A6" s="1" t="s">
        <v>363</v>
      </c>
      <c r="B6" s="1" t="s">
        <v>404</v>
      </c>
      <c r="C6" s="1" t="s">
        <v>187</v>
      </c>
      <c r="D6" s="1"/>
      <c r="E6" s="1"/>
      <c r="F6" s="1" t="s">
        <v>430</v>
      </c>
    </row>
    <row r="7" spans="1:6">
      <c r="A7" s="1" t="s">
        <v>364</v>
      </c>
      <c r="B7" s="1"/>
      <c r="C7" s="1" t="s">
        <v>365</v>
      </c>
      <c r="D7" s="1"/>
      <c r="E7" s="1"/>
      <c r="F7" s="1"/>
    </row>
    <row r="8" spans="1:6">
      <c r="A8" s="1" t="s">
        <v>418</v>
      </c>
      <c r="B8" s="1"/>
      <c r="C8" s="1" t="s">
        <v>366</v>
      </c>
      <c r="D8" s="1"/>
      <c r="E8" s="1"/>
      <c r="F8" s="1"/>
    </row>
    <row r="9" spans="1:6">
      <c r="A9" s="1" t="s">
        <v>419</v>
      </c>
      <c r="B9" s="1"/>
      <c r="C9" s="1" t="s">
        <v>367</v>
      </c>
      <c r="D9" s="1"/>
      <c r="E9" s="1"/>
      <c r="F9" s="1"/>
    </row>
    <row r="10" spans="1:6">
      <c r="A10" s="1" t="s">
        <v>368</v>
      </c>
      <c r="B10" s="1"/>
      <c r="C10" s="1" t="s">
        <v>91</v>
      </c>
      <c r="D10" s="1"/>
      <c r="E10" s="1"/>
      <c r="F10" s="1"/>
    </row>
    <row r="11" spans="1:6">
      <c r="A11" s="1" t="s">
        <v>369</v>
      </c>
      <c r="B11" s="1"/>
      <c r="C11" s="1" t="s">
        <v>61</v>
      </c>
      <c r="D11" s="1"/>
      <c r="E11" s="1"/>
      <c r="F11" s="1"/>
    </row>
    <row r="12" spans="1:6">
      <c r="A12" s="1" t="s">
        <v>370</v>
      </c>
      <c r="B12" s="1"/>
      <c r="C12" s="1" t="s">
        <v>76</v>
      </c>
      <c r="D12" s="1"/>
      <c r="E12" s="1"/>
      <c r="F12" s="1"/>
    </row>
    <row r="13" spans="1:6">
      <c r="A13" s="1" t="s">
        <v>371</v>
      </c>
      <c r="B13" s="1"/>
      <c r="C13" s="1" t="s">
        <v>372</v>
      </c>
      <c r="D13" s="1"/>
      <c r="E13" s="1"/>
      <c r="F13" s="1"/>
    </row>
    <row r="14" spans="1:6">
      <c r="A14" s="1" t="s">
        <v>420</v>
      </c>
      <c r="B14" s="1"/>
      <c r="C14" s="1" t="s">
        <v>373</v>
      </c>
      <c r="D14" s="1"/>
      <c r="E14" s="1"/>
      <c r="F14" s="1"/>
    </row>
    <row r="15" spans="1:6">
      <c r="A15" s="1" t="s">
        <v>374</v>
      </c>
      <c r="B15" s="1"/>
      <c r="C15" s="1" t="s">
        <v>120</v>
      </c>
      <c r="D15" s="1"/>
      <c r="E15" s="1"/>
      <c r="F15" s="1"/>
    </row>
    <row r="16" spans="1:6">
      <c r="A16" s="1" t="s">
        <v>375</v>
      </c>
      <c r="B16" s="1"/>
      <c r="C16" s="1" t="s">
        <v>376</v>
      </c>
      <c r="D16" s="1"/>
      <c r="E16" s="1"/>
      <c r="F16" s="1"/>
    </row>
    <row r="17" spans="1:6">
      <c r="A17" s="1" t="s">
        <v>377</v>
      </c>
      <c r="B17" s="1"/>
      <c r="C17" s="1" t="s">
        <v>378</v>
      </c>
      <c r="D17" s="1"/>
      <c r="E17" s="1"/>
      <c r="F17" s="1"/>
    </row>
    <row r="18" spans="1:6">
      <c r="A18" s="1" t="s">
        <v>379</v>
      </c>
      <c r="B18" s="1"/>
      <c r="C18" s="1" t="s">
        <v>134</v>
      </c>
      <c r="D18" s="1"/>
      <c r="E18" s="1"/>
      <c r="F18" s="1"/>
    </row>
    <row r="19" spans="1:6">
      <c r="A19" s="1" t="s">
        <v>380</v>
      </c>
      <c r="B19" s="1"/>
      <c r="C19" s="1" t="s">
        <v>381</v>
      </c>
      <c r="D19" s="1"/>
      <c r="E19" s="1"/>
      <c r="F19" s="1"/>
    </row>
    <row r="20" spans="1:6">
      <c r="A20" s="1" t="s">
        <v>382</v>
      </c>
      <c r="B20" s="1"/>
      <c r="C20" s="1" t="s">
        <v>383</v>
      </c>
      <c r="D20" s="1"/>
      <c r="E20" s="1"/>
      <c r="F20" s="1"/>
    </row>
    <row r="21" spans="1:6">
      <c r="A21" s="1" t="s">
        <v>384</v>
      </c>
      <c r="B21" s="1"/>
      <c r="C21" s="1" t="s">
        <v>385</v>
      </c>
      <c r="D21" s="1"/>
      <c r="E21" s="1"/>
      <c r="F21" s="1"/>
    </row>
    <row r="22" spans="1:6">
      <c r="A22" s="1" t="s">
        <v>386</v>
      </c>
      <c r="B22" s="1"/>
      <c r="C22" s="1" t="s">
        <v>52</v>
      </c>
      <c r="D22" s="1"/>
      <c r="E22" s="1"/>
      <c r="F22" s="1"/>
    </row>
    <row r="23" spans="1:6">
      <c r="A23" s="1" t="s">
        <v>141</v>
      </c>
      <c r="B23" s="1"/>
      <c r="C23" s="1" t="s">
        <v>387</v>
      </c>
      <c r="D23" s="1"/>
      <c r="E23" s="1"/>
      <c r="F23" s="1"/>
    </row>
    <row r="24" spans="1:6">
      <c r="A24" s="1" t="s">
        <v>388</v>
      </c>
      <c r="B24" s="1"/>
      <c r="C24" s="1" t="s">
        <v>100</v>
      </c>
      <c r="D24" s="1"/>
      <c r="E24" s="1"/>
      <c r="F24" s="1"/>
    </row>
    <row r="25" spans="1:6">
      <c r="A25" s="1" t="s">
        <v>389</v>
      </c>
      <c r="B25" s="1"/>
      <c r="C25" s="1" t="s">
        <v>44</v>
      </c>
      <c r="D25" s="1"/>
      <c r="E25" s="1"/>
      <c r="F25" s="1"/>
    </row>
    <row r="26" spans="1:6">
      <c r="A26" s="1" t="s">
        <v>390</v>
      </c>
      <c r="B26" s="1"/>
      <c r="C26" s="1" t="s">
        <v>391</v>
      </c>
      <c r="D26" s="1"/>
      <c r="E26" s="1"/>
      <c r="F26" s="1"/>
    </row>
    <row r="27" spans="1:6">
      <c r="A27" s="1" t="s">
        <v>203</v>
      </c>
      <c r="B27" s="1"/>
      <c r="C27" s="1" t="s">
        <v>84</v>
      </c>
      <c r="D27" s="1"/>
      <c r="E27" s="1"/>
      <c r="F27" s="1"/>
    </row>
    <row r="28" spans="1:6">
      <c r="A28" s="1" t="s">
        <v>392</v>
      </c>
      <c r="B28" s="1"/>
      <c r="C28" s="1" t="s">
        <v>118</v>
      </c>
      <c r="D28" s="1"/>
      <c r="E28" s="1"/>
      <c r="F28" s="1"/>
    </row>
    <row r="29" spans="1:6">
      <c r="A29" s="1" t="s">
        <v>393</v>
      </c>
      <c r="B29" s="1"/>
      <c r="C29" s="1" t="s">
        <v>221</v>
      </c>
      <c r="D29" s="1"/>
      <c r="E29" s="1"/>
      <c r="F29" s="1"/>
    </row>
    <row r="30" spans="1:6">
      <c r="A30" s="1" t="s">
        <v>394</v>
      </c>
      <c r="B30" s="1"/>
      <c r="C30" s="1" t="s">
        <v>178</v>
      </c>
      <c r="D30" s="1"/>
      <c r="E30" s="1"/>
      <c r="F30" s="1"/>
    </row>
    <row r="31" spans="1:6">
      <c r="A31" s="1" t="s">
        <v>395</v>
      </c>
      <c r="B31" s="1"/>
      <c r="C31" s="1" t="s">
        <v>12</v>
      </c>
      <c r="D31" s="1"/>
      <c r="E31" s="1"/>
      <c r="F31" s="1"/>
    </row>
    <row r="32" spans="1:6">
      <c r="A32" s="1" t="s">
        <v>396</v>
      </c>
      <c r="B32" s="1"/>
      <c r="C32" s="1"/>
      <c r="D32" s="1"/>
      <c r="E32" s="1"/>
      <c r="F32" s="1"/>
    </row>
    <row r="33" spans="1:6">
      <c r="A33" s="1" t="s">
        <v>397</v>
      </c>
      <c r="B33" s="1"/>
      <c r="C33" s="1"/>
      <c r="D33" s="1"/>
      <c r="E33" s="1"/>
      <c r="F33" s="1"/>
    </row>
    <row r="34" spans="1:6">
      <c r="A34" s="1" t="s">
        <v>398</v>
      </c>
      <c r="B34" s="1"/>
      <c r="C34" s="1"/>
      <c r="D34" s="1"/>
      <c r="E34" s="1"/>
      <c r="F34" s="1"/>
    </row>
    <row r="35" spans="1:6">
      <c r="A35" s="1" t="s">
        <v>93</v>
      </c>
      <c r="B35" s="1"/>
      <c r="C35" s="1"/>
      <c r="D35" s="1"/>
      <c r="E35" s="1"/>
      <c r="F35" s="1"/>
    </row>
    <row r="36" spans="1:6">
      <c r="A36" s="1" t="s">
        <v>401</v>
      </c>
      <c r="B36" s="1"/>
      <c r="C36" s="1"/>
      <c r="D36" s="1"/>
      <c r="E36" s="1"/>
      <c r="F36" s="1"/>
    </row>
    <row r="37" spans="1:6">
      <c r="A37" s="1" t="s">
        <v>144</v>
      </c>
      <c r="B37" s="1"/>
      <c r="C37" s="1"/>
      <c r="D37" s="1"/>
      <c r="E37" s="1"/>
      <c r="F37" s="1"/>
    </row>
    <row r="38" spans="1:6">
      <c r="A38" s="1" t="s">
        <v>162</v>
      </c>
      <c r="B38" s="1"/>
      <c r="C38" s="1"/>
      <c r="D38" s="1"/>
      <c r="E38" s="1"/>
      <c r="F38" s="1"/>
    </row>
    <row r="39" spans="1:6">
      <c r="A39" s="1" t="s">
        <v>147</v>
      </c>
      <c r="B39" s="1"/>
      <c r="C39" s="1"/>
      <c r="D39" s="1"/>
      <c r="E39" s="1"/>
      <c r="F39" s="1"/>
    </row>
    <row r="40" spans="1:6">
      <c r="A40" s="1" t="s">
        <v>71</v>
      </c>
      <c r="B40" s="1"/>
      <c r="C40" s="1"/>
      <c r="D40" s="1"/>
      <c r="E40" s="1"/>
      <c r="F40" s="1"/>
    </row>
    <row r="41" spans="1:6">
      <c r="A41" s="1" t="s">
        <v>31</v>
      </c>
      <c r="B41" s="1"/>
      <c r="C41" s="1"/>
      <c r="D41" s="1"/>
      <c r="E41" s="1"/>
      <c r="F41" s="1"/>
    </row>
    <row r="42" spans="1:6">
      <c r="A42" s="1" t="s">
        <v>405</v>
      </c>
      <c r="B42" s="1"/>
      <c r="C42" s="1"/>
      <c r="D42" s="1"/>
      <c r="E42" s="1"/>
      <c r="F42" s="1"/>
    </row>
    <row r="43" spans="1:6">
      <c r="A43" s="1" t="s">
        <v>406</v>
      </c>
      <c r="B43" s="1"/>
      <c r="C43" s="1"/>
      <c r="D43" s="1"/>
      <c r="E43" s="1"/>
      <c r="F43" s="1"/>
    </row>
    <row r="44" spans="1:6">
      <c r="A44" s="1" t="s">
        <v>247</v>
      </c>
      <c r="B44" s="1"/>
      <c r="C44" s="1"/>
      <c r="D44" s="1"/>
      <c r="E44" s="1"/>
      <c r="F44" s="1"/>
    </row>
    <row r="45" spans="1:6">
      <c r="A45" s="1" t="s">
        <v>421</v>
      </c>
      <c r="B45" s="1"/>
      <c r="C45" s="1"/>
      <c r="D45" s="1"/>
      <c r="E45" s="1"/>
      <c r="F45" s="1"/>
    </row>
    <row r="46" spans="1:6">
      <c r="A46" s="1" t="s">
        <v>198</v>
      </c>
      <c r="B46" s="1"/>
      <c r="C46" s="1"/>
      <c r="D46" s="1"/>
      <c r="E46" s="1"/>
      <c r="F46" s="1"/>
    </row>
    <row r="47" spans="1:6">
      <c r="A47" s="1" t="s">
        <v>407</v>
      </c>
      <c r="B47" s="1"/>
      <c r="C47" s="1"/>
      <c r="D47" s="1"/>
      <c r="E47" s="1"/>
      <c r="F47" s="1"/>
    </row>
    <row r="48" spans="1:6">
      <c r="A48" s="1" t="s">
        <v>408</v>
      </c>
      <c r="B48" s="1"/>
      <c r="C48" s="1"/>
      <c r="D48" s="1"/>
      <c r="E48" s="1"/>
      <c r="F48" s="1"/>
    </row>
    <row r="49" spans="1:6">
      <c r="A49" s="1" t="s">
        <v>409</v>
      </c>
      <c r="B49" s="1"/>
      <c r="C49" s="1"/>
      <c r="D49" s="1"/>
      <c r="E49" s="1"/>
      <c r="F49" s="1"/>
    </row>
    <row r="50" spans="1:6">
      <c r="A50" s="1" t="s">
        <v>410</v>
      </c>
      <c r="B50" s="1"/>
      <c r="C50" s="1"/>
      <c r="D50" s="1"/>
      <c r="E50" s="1"/>
      <c r="F50" s="1"/>
    </row>
    <row r="51" spans="1:6">
      <c r="A51" s="1" t="s">
        <v>27</v>
      </c>
      <c r="B51" s="1"/>
      <c r="C51" s="1"/>
      <c r="D51" s="1"/>
      <c r="E51" s="1"/>
      <c r="F51" s="1"/>
    </row>
    <row r="52" spans="1:6">
      <c r="A52" s="1" t="s">
        <v>34</v>
      </c>
      <c r="B52" s="1"/>
      <c r="C52" s="1"/>
      <c r="D52" s="1"/>
      <c r="E52" s="1"/>
      <c r="F52" s="1"/>
    </row>
    <row r="53" spans="1:6">
      <c r="A53" s="1" t="s">
        <v>111</v>
      </c>
      <c r="B53" s="1"/>
      <c r="C53" s="1"/>
      <c r="D53" s="1"/>
      <c r="E53" s="1"/>
      <c r="F53" s="1"/>
    </row>
    <row r="54" spans="1:6">
      <c r="A54" s="1" t="s">
        <v>40</v>
      </c>
      <c r="B54" s="1"/>
      <c r="C54" s="1"/>
      <c r="D54" s="1"/>
      <c r="E54" s="1"/>
      <c r="F54" s="1"/>
    </row>
    <row r="55" spans="1:6">
      <c r="A55" s="1" t="s">
        <v>411</v>
      </c>
      <c r="B55" s="1"/>
      <c r="C55" s="1"/>
      <c r="D55" s="1"/>
      <c r="E55" s="1"/>
      <c r="F55" s="1"/>
    </row>
    <row r="56" spans="1:6">
      <c r="A56" s="1" t="s">
        <v>412</v>
      </c>
      <c r="B56" s="1"/>
      <c r="C56" s="1"/>
      <c r="D56" s="1"/>
      <c r="E56" s="1"/>
      <c r="F56" s="1"/>
    </row>
    <row r="57" spans="1:6">
      <c r="A57" s="1" t="s">
        <v>413</v>
      </c>
      <c r="B57" s="1"/>
      <c r="C57" s="1"/>
      <c r="D57" s="1"/>
      <c r="E57" s="1"/>
      <c r="F5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workbookViewId="0">
      <selection activeCell="B3" sqref="B3"/>
    </sheetView>
  </sheetViews>
  <sheetFormatPr defaultRowHeight="15.05"/>
  <cols>
    <col min="1" max="1" width="16.109375" bestFit="1" customWidth="1"/>
  </cols>
  <sheetData>
    <row r="1" spans="1:3">
      <c r="A1" s="33"/>
      <c r="B1" s="34"/>
      <c r="C1" s="35"/>
    </row>
    <row r="2" spans="1:3">
      <c r="A2" s="36"/>
      <c r="B2" s="37"/>
      <c r="C2" s="38"/>
    </row>
    <row r="3" spans="1:3">
      <c r="A3" s="36"/>
      <c r="B3" s="37"/>
      <c r="C3" s="38"/>
    </row>
    <row r="4" spans="1:3">
      <c r="A4" s="36"/>
      <c r="B4" s="37"/>
      <c r="C4" s="38"/>
    </row>
    <row r="5" spans="1:3">
      <c r="A5" s="36"/>
      <c r="B5" s="37"/>
      <c r="C5" s="38"/>
    </row>
    <row r="6" spans="1:3">
      <c r="A6" s="36"/>
      <c r="B6" s="37"/>
      <c r="C6" s="38"/>
    </row>
    <row r="7" spans="1:3">
      <c r="A7" s="36"/>
      <c r="B7" s="37"/>
      <c r="C7" s="38"/>
    </row>
    <row r="8" spans="1:3">
      <c r="A8" s="36"/>
      <c r="B8" s="37"/>
      <c r="C8" s="38"/>
    </row>
    <row r="9" spans="1:3">
      <c r="A9" s="36"/>
      <c r="B9" s="37"/>
      <c r="C9" s="38"/>
    </row>
    <row r="10" spans="1:3">
      <c r="A10" s="36"/>
      <c r="B10" s="37"/>
      <c r="C10" s="38"/>
    </row>
    <row r="11" spans="1:3">
      <c r="A11" s="36"/>
      <c r="B11" s="37"/>
      <c r="C11" s="38"/>
    </row>
    <row r="12" spans="1:3">
      <c r="A12" s="36"/>
      <c r="B12" s="37"/>
      <c r="C12" s="38"/>
    </row>
    <row r="13" spans="1:3">
      <c r="A13" s="36"/>
      <c r="B13" s="37"/>
      <c r="C13" s="38"/>
    </row>
    <row r="14" spans="1:3">
      <c r="A14" s="36"/>
      <c r="B14" s="37"/>
      <c r="C14" s="38"/>
    </row>
    <row r="15" spans="1:3">
      <c r="A15" s="36"/>
      <c r="B15" s="37"/>
      <c r="C15" s="38"/>
    </row>
    <row r="16" spans="1:3">
      <c r="A16" s="36"/>
      <c r="B16" s="37"/>
      <c r="C16" s="38"/>
    </row>
    <row r="17" spans="1:3">
      <c r="A17" s="36"/>
      <c r="B17" s="37"/>
      <c r="C17" s="38"/>
    </row>
    <row r="18" spans="1:3">
      <c r="A18" s="39"/>
      <c r="B18" s="40"/>
      <c r="C18" s="4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9DDC0-96D7-4DE9-81B4-33FB66B98A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TABELAS DINÂMICAS</vt:lpstr>
      <vt:lpstr>BASE DE DADOS</vt:lpstr>
      <vt:lpstr>DashBoard</vt:lpstr>
      <vt:lpstr>VALIDAÇÃO DE DADOS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Projeto4</dc:creator>
  <cp:lastModifiedBy>Ruan Guimarães</cp:lastModifiedBy>
  <dcterms:created xsi:type="dcterms:W3CDTF">2024-09-09T11:59:22Z</dcterms:created>
  <dcterms:modified xsi:type="dcterms:W3CDTF">2024-10-31T18:20:07Z</dcterms:modified>
</cp:coreProperties>
</file>